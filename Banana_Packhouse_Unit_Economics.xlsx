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Farm Economics" sheetId="3" state="visible" r:id="rId5"/>
    <sheet name="Volumes &amp; Seasonality" sheetId="4" state="visible" r:id="rId6"/>
    <sheet name="Packhouse Capex" sheetId="5" state="visible" r:id="rId7"/>
    <sheet name="Packhouse Opex" sheetId="6" state="visible" r:id="rId8"/>
    <sheet name="Unit Economics" sheetId="7" state="visible" r:id="rId9"/>
    <sheet name="Waste Valorisation" sheetId="8" state="visible" r:id="rId10"/>
    <sheet name="Annual P&amp;L" sheetId="9" state="visible" r:id="rId11"/>
    <sheet name="Location &amp; Risks" sheetId="10" state="visible" r:id="rId12"/>
    <sheet name="Sources" sheetId="11" state="visible" r:id="rId13"/>
    <sheet name="Original Draft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<sst xmlns="http://schemas.openxmlformats.org/spreadsheetml/2006/main" count="1248" uniqueCount="909">
  <si>
    <t xml:space="preserve">Banana Farm + Packhouse + Pre-cooling + Cold Storage, Vadodara – Unit Economics Summary</t>
  </si>
  <si>
    <t xml:space="preserve">150 acres G9 tissue-culture · 25% export (Gulf, CIF) / 75% domestic premium · prices &amp; costs researched Sep-2026. All figures are live links to the calc tabs.</t>
  </si>
  <si>
    <t xml:space="preserve">Scale</t>
  </si>
  <si>
    <t xml:space="preserve">Annual bunch harvest (t)</t>
  </si>
  <si>
    <t xml:space="preserve">Sellable packed fruit (t)</t>
  </si>
  <si>
    <t xml:space="preserve">  Export (t) / containers per year</t>
  </si>
  <si>
    <t xml:space="preserve">40' reefers/yr</t>
  </si>
  <si>
    <t xml:space="preserve">  Domestic (t) / reefer truck trips per year</t>
  </si>
  <si>
    <t xml:space="preserve">trips/yr</t>
  </si>
  <si>
    <t xml:space="preserve">Average / peak packhouse intake (t bunch per day)</t>
  </si>
  <si>
    <t xml:space="preserve">Unit economics per kg (₹)</t>
  </si>
  <si>
    <t xml:space="preserve">Export</t>
  </si>
  <si>
    <t xml:space="preserve">Domestic</t>
  </si>
  <si>
    <t xml:space="preserve">Blended</t>
  </si>
  <si>
    <t xml:space="preserve">Selling price</t>
  </si>
  <si>
    <t xml:space="preserve">Own farm cost</t>
  </si>
  <si>
    <t xml:space="preserve">Packaging</t>
  </si>
  <si>
    <t xml:space="preserve">Transport to port / buyer</t>
  </si>
  <si>
    <t xml:space="preserve">Ocean freight (base)</t>
  </si>
  <si>
    <t xml:space="preserve">Gulf war-risk surcharge</t>
  </si>
  <si>
    <t xml:space="preserve">Total variable cost</t>
  </si>
  <si>
    <t xml:space="preserve">Fixed overheads + depreciation + interest</t>
  </si>
  <si>
    <t xml:space="preserve">Total cost (fully loaded)</t>
  </si>
  <si>
    <t xml:space="preserve">Net margin</t>
  </si>
  <si>
    <t xml:space="preserve">Export breakeven CIF price (US$ per 13 kg carton)</t>
  </si>
  <si>
    <t xml:space="preserve">Compare with assumed CIF on Inputs</t>
  </si>
  <si>
    <t xml:space="preserve">Annual P&amp;L (₹)</t>
  </si>
  <si>
    <t xml:space="preserve">Sep-2026 conditions</t>
  </si>
  <si>
    <t xml:space="preserve">₹ lakh</t>
  </si>
  <si>
    <t xml:space="preserve">Normalised (no surcharge)</t>
  </si>
  <si>
    <t xml:space="preserve">Total revenue</t>
  </si>
  <si>
    <t xml:space="preserve">  of which by-products</t>
  </si>
  <si>
    <t xml:space="preserve">Total operating cost</t>
  </si>
  <si>
    <t xml:space="preserve">EBITDA</t>
  </si>
  <si>
    <t xml:space="preserve">Profit before tax</t>
  </si>
  <si>
    <t xml:space="preserve">Net capex after subsidy</t>
  </si>
  <si>
    <t xml:space="preserve">Cash surplus after debt service</t>
  </si>
  <si>
    <t xml:space="preserve">Simple payback on net capex (years)</t>
  </si>
  <si>
    <t xml:space="preserve">Waste streams (annual)</t>
  </si>
  <si>
    <t xml:space="preserve">Stream</t>
  </si>
  <si>
    <t xml:space="preserve">Output</t>
  </si>
  <si>
    <t xml:space="preserve">Revenue (₹)</t>
  </si>
  <si>
    <t xml:space="preserve">Net margin per unit (₹)</t>
  </si>
  <si>
    <t xml:space="preserve">Green banana flour (from culls)</t>
  </si>
  <si>
    <t xml:space="preserve">kg flour</t>
  </si>
  <si>
    <t xml:space="preserve">Banana fibre (from pseudostem)</t>
  </si>
  <si>
    <t xml:space="preserve">kg fibre</t>
  </si>
  <si>
    <t xml:space="preserve">Vermicompost (stalks, trash)</t>
  </si>
  <si>
    <t xml:space="preserve">kg compost</t>
  </si>
  <si>
    <t xml:space="preserve">Pseudostem sap liquid fertiliser</t>
  </si>
  <si>
    <t xml:space="preserve">blank</t>
  </si>
  <si>
    <t xml:space="preserve">Not modelled – yield &amp; bulk price not verifiable (cells left blank on Waste tab)</t>
  </si>
  <si>
    <t xml:space="preserve">Key findings</t>
  </si>
  <si>
    <t xml:space="preserve">7. Until Gulf routes normalise, either move the export 25% to domestic premium or ship to markets that don't need Hormuz: Oman (Salalah/Sohar), the UAE east coast via Khor Fakkan/Fujairah, Central Asia/Russia, or Red Sea ports (which carry their own risk). Firm up the domestic price with annual contracts.</t>
  </si>
  <si>
    <t xml:space="preserve">How to use</t>
  </si>
  <si>
    <t xml:space="preserve">Blue numbers = inputs (change them on 'Inputs' or on the calc tabs). Black = formulas. Green = links to another tab. Yellow = figure not found, left blank for you to fill.</t>
  </si>
  <si>
    <t xml:space="preserve">The 'Confidence' column on every input says whether a figure is Researched (with source), Derived (calculated from research), an Estimate (industry rule-of-thumb – replace with local quotes), or from you (User).</t>
  </si>
  <si>
    <t xml:space="preserve">Flip Inputs → 'Apply war-risk surcharge?' to 0 to see a normalised year. Every tab recalculates.</t>
  </si>
  <si>
    <t xml:space="preserve">Inputs &amp; Assumptions (all hard-coded numbers live here or are flagged blue on calc sheets)</t>
  </si>
  <si>
    <t xml:space="preserve">Blue = input you can change · Yellow cell = could not find a reasonable figure, left blank for you to fill · Confidence: Researched / Derived / Estimate / User</t>
  </si>
  <si>
    <t xml:space="preserve">Parameter</t>
  </si>
  <si>
    <t xml:space="preserve">Value</t>
  </si>
  <si>
    <t xml:space="preserve">Unit</t>
  </si>
  <si>
    <t xml:space="preserve">Low</t>
  </si>
  <si>
    <t xml:space="preserve">High</t>
  </si>
  <si>
    <t xml:space="preserve">Confidence</t>
  </si>
  <si>
    <t xml:space="preserve">Source / rationale (see 'Sources' tab for links)</t>
  </si>
  <si>
    <t xml:space="preserve">General</t>
  </si>
  <si>
    <t xml:space="preserve">USD/INR exchange rate</t>
  </si>
  <si>
    <t xml:space="preserve">₹ per USD</t>
  </si>
  <si>
    <t xml:space="preserve">Researched</t>
  </si>
  <si>
    <t xml:space="preserve">[S1] USD/INR 95.96 on 25-Sep-2026; 12-month INR depreciation ~8%.</t>
  </si>
  <si>
    <t xml:space="preserve">Packhouse operating days per year</t>
  </si>
  <si>
    <t xml:space="preserve">days</t>
  </si>
  <si>
    <t xml:space="preserve">Estimate</t>
  </si>
  <si>
    <t xml:space="preserve">Staggered planting (see Volumes &amp; Seasonality) allows near year-round harvest; Sundays/holidays and rain days excluded.</t>
  </si>
  <si>
    <t xml:space="preserve">Peak-day throughput factor (peak ÷ average)</t>
  </si>
  <si>
    <t xml:space="preserve">x</t>
  </si>
  <si>
    <t xml:space="preserve">Used only to size pre-cooling/cold room. Harvest of tissue-culture plots is bunched, so design for peaks.</t>
  </si>
  <si>
    <t xml:space="preserve">Farm – 150 acres, G9 (Grand Naine) tissue-culture</t>
  </si>
  <si>
    <t xml:space="preserve">Area under banana</t>
  </si>
  <si>
    <t xml:space="preserve">acres</t>
  </si>
  <si>
    <t xml:space="preserve">User</t>
  </si>
  <si>
    <t xml:space="preserve">Given by you.</t>
  </si>
  <si>
    <t xml:space="preserve">Plant density</t>
  </si>
  <si>
    <t xml:space="preserve">plants/acre</t>
  </si>
  <si>
    <t xml:space="preserve">[S2][S3] 6 ft x 5 ft spacing = 1,452/acre; NHB/Agrifarming recommend 1,200–1,450 plants/acre for G9.</t>
  </si>
  <si>
    <t xml:space="preserve">Tissue-culture plantlet price (hardened, delivered)</t>
  </si>
  <si>
    <t xml:space="preserve">₹/plant</t>
  </si>
  <si>
    <t xml:space="preserve">Derived</t>
  </si>
  <si>
    <t xml:space="preserve">[S3] ₹10–15/plant ex-lab (2026); +~₹1–2 for secondary hardening &amp; transport.</t>
  </si>
  <si>
    <t xml:space="preserve">Gap-filling / mortality replacement</t>
  </si>
  <si>
    <t xml:space="preserve">% of plants</t>
  </si>
  <si>
    <t xml:space="preserve">Typical TC establishment losses.</t>
  </si>
  <si>
    <t xml:space="preserve">Plant-crop yield (bunch weight basis)</t>
  </si>
  <si>
    <t xml:space="preserve">t/acre</t>
  </si>
  <si>
    <t xml:space="preserve">[S4] Gujarat avg 65.91 t/ha = 26.7 t/acre (highest in India); Bharuch 72.55 t/ha = 29.4 t/acre. Hi-tech G9 with fertigation 30–40 t/acre [S3].</t>
  </si>
  <si>
    <t xml:space="preserve">1st ratoon yield</t>
  </si>
  <si>
    <t xml:space="preserve">[S3] 2nd harvest 10–20 t/acre; Gujarat drip/fertigation farms at the upper end. Model assumes plant crop + 1 ratoon, then replant.</t>
  </si>
  <si>
    <t xml:space="preserve">Plant-crop cycle (planting → end of harvest)</t>
  </si>
  <si>
    <t xml:space="preserve">months</t>
  </si>
  <si>
    <t xml:space="preserve">[S2] G9 matures in 11–12 months in Gujarat; +~1–2 months harvest window.</t>
  </si>
  <si>
    <t xml:space="preserve">Ratoon cycle (after plant-crop harvest)</t>
  </si>
  <si>
    <t xml:space="preserve">Ratoon follower sucker is already growing at mother-plant harvest.</t>
  </si>
  <si>
    <t xml:space="preserve">Farm land lease rent</t>
  </si>
  <si>
    <t xml:space="preserve">₹/acre/year</t>
  </si>
  <si>
    <t xml:space="preserve">[S5] Fertile irrigated land ₹30,000–80,000/acre/yr; Anand–Vadodara belt at lower-middle. Set to 0 if land is owned.</t>
  </si>
  <si>
    <t xml:space="preserve">Farm labour wage</t>
  </si>
  <si>
    <t xml:space="preserve">₹/day</t>
  </si>
  <si>
    <t xml:space="preserve">[S6] Gujarat minimum wage (Apr–Sep 2026) unskilled ₹501.50–512.50/day incl. VDA.</t>
  </si>
  <si>
    <t xml:space="preserve">Field labour – plant crop (excl. harvest)</t>
  </si>
  <si>
    <t xml:space="preserve">man-days/acre</t>
  </si>
  <si>
    <t xml:space="preserve">[S7] Anand drip farms use 160.6 man-days/ha (=65/acre); +~20% for export-grade practices (de-leafing, bunch care, de-handing of false hands).</t>
  </si>
  <si>
    <t xml:space="preserve">Field labour – ratoon crop (excl. harvest)</t>
  </si>
  <si>
    <t xml:space="preserve">No planting / land-prep labour in ratoon.</t>
  </si>
  <si>
    <t xml:space="preserve">Bunch cover (skirting bag) price</t>
  </si>
  <si>
    <t xml:space="preserve">₹/bunch</t>
  </si>
  <si>
    <t xml:space="preserve">Non-woven/LDPE bunch covers – essential for blemish-free export fruit.</t>
  </si>
  <si>
    <t xml:space="preserve">Drip + fertigation system capex</t>
  </si>
  <si>
    <t xml:space="preserve">₹/acre</t>
  </si>
  <si>
    <t xml:space="preserve">[S8] Netafim: ~₹25,000/acre incl. fertigation equipment (before Gujarat GGRC subsidy).</t>
  </si>
  <si>
    <t xml:space="preserve">Drip system life</t>
  </si>
  <si>
    <t xml:space="preserve">years</t>
  </si>
  <si>
    <t xml:space="preserve">Crop-loan (KCC) interest rate</t>
  </si>
  <si>
    <t xml:space="preserve">% p.a.</t>
  </si>
  <si>
    <t xml:space="preserve">Standard KCC rate 7% (effectively 4% with prompt-repayment incentive).</t>
  </si>
  <si>
    <t xml:space="preserve">Post-harvest mass balance</t>
  </si>
  <si>
    <t xml:space="preserve">Stalk / rachis share of bunch weight</t>
  </si>
  <si>
    <t xml:space="preserve">% of bunch</t>
  </si>
  <si>
    <t xml:space="preserve">Removed at de-handing; goes to compost.</t>
  </si>
  <si>
    <t xml:space="preserve">Rejects / B-grade (culls) share of fruit</t>
  </si>
  <si>
    <t xml:space="preserve">% of fruit</t>
  </si>
  <si>
    <t xml:space="preserve">Your draft used 5%; a premium-only strategy (no B-grade sales) needs stricter grading, so 10% is used. Culls go to banana flour (Waste tab).</t>
  </si>
  <si>
    <t xml:space="preserve">Weight loss in pre-cooling / handling</t>
  </si>
  <si>
    <t xml:space="preserve">% of graded fruit</t>
  </si>
  <si>
    <t xml:space="preserve">Moisture loss + trimming.</t>
  </si>
  <si>
    <t xml:space="preserve">Export share of sellable product</t>
  </si>
  <si>
    <t xml:space="preserve">%</t>
  </si>
  <si>
    <t xml:space="preserve">Given by you (1/4 export, 3/4 domestic premium).</t>
  </si>
  <si>
    <t xml:space="preserve">Net weight per carton (export &amp; domestic)</t>
  </si>
  <si>
    <t xml:space="preserve">kg</t>
  </si>
  <si>
    <t xml:space="preserve">[S9][S10] Standard 13–13.5 kg telescopic carton for Gulf markets.</t>
  </si>
  <si>
    <t xml:space="preserve">Cartons per 40' HC reefer</t>
  </si>
  <si>
    <t xml:space="preserve">cartons</t>
  </si>
  <si>
    <t xml:space="preserve">[S11] 40' HC reefer ≈1,540 cartons (≈20 t) – matches your draft (₹3,00,300 ÷ ₹15 = 20,020 kg).</t>
  </si>
  <si>
    <t xml:space="preserve">Pseudostem fresh weight per plant</t>
  </si>
  <si>
    <t xml:space="preserve">kg/plant</t>
  </si>
  <si>
    <t xml:space="preserve">[S12] Literature 60–220 t pseudostem/ha; ~3 t waste per t fruit. 30 kg × 1,452 = 43.6 t/acre/crop (conservative end).</t>
  </si>
  <si>
    <t xml:space="preserve">Harvest &amp; packhouse operations</t>
  </si>
  <si>
    <t xml:space="preserve">Harvest tonnes handled per crew-day</t>
  </si>
  <si>
    <t xml:space="preserve">t/day</t>
  </si>
  <si>
    <t xml:space="preserve">Your note: '13 tonnes requires 10 people, ₹1000/day' + '3 harvesters ₹1000/day'.</t>
  </si>
  <si>
    <t xml:space="preserve">Harvest carriers / handlers</t>
  </si>
  <si>
    <t xml:space="preserve">people</t>
  </si>
  <si>
    <t xml:space="preserve">Your note.</t>
  </si>
  <si>
    <t xml:space="preserve">Harvesters (bunch cutters)</t>
  </si>
  <si>
    <t xml:space="preserve">Harvest crew rate</t>
  </si>
  <si>
    <t xml:space="preserve">₹/person/day</t>
  </si>
  <si>
    <t xml:space="preserve">Your note (above minimum wage – skilled handling).</t>
  </si>
  <si>
    <t xml:space="preserve">Farm → packhouse transport</t>
  </si>
  <si>
    <t xml:space="preserve">₹/kg bunch</t>
  </si>
  <si>
    <t xml:space="preserve">Tractor-trolley/tempo, ≤40 km radius of Vadodara.</t>
  </si>
  <si>
    <t xml:space="preserve">Packhouse workers per operating day</t>
  </si>
  <si>
    <t xml:space="preserve">De-handing, washing/alum, fungicide dip, drying, grading, weighing, packing, loading. Your draft: ₹1.50/kg.</t>
  </si>
  <si>
    <t xml:space="preserve">Packhouse worker wage</t>
  </si>
  <si>
    <t xml:space="preserve">[S6] Gujarat Zone-I unskilled minimum wage Apr–Sep 2026.</t>
  </si>
  <si>
    <t xml:space="preserve">Post-harvest chemicals &amp; sanitation</t>
  </si>
  <si>
    <t xml:space="preserve">₹/kg fruit</t>
  </si>
  <si>
    <t xml:space="preserve">Your draft (alum wash, food-grade fungicide, sanitiser).</t>
  </si>
  <si>
    <t xml:space="preserve">Process water &amp; wash-water treatment</t>
  </si>
  <si>
    <t xml:space="preserve">Electricity use per tonne packed</t>
  </si>
  <si>
    <t xml:space="preserve">kWh/t</t>
  </si>
  <si>
    <t xml:space="preserve">Engineering estimate: forced-air pre-cool 30→14 °C ≈ 17 kWh(th)/t → ~20 kWh(e) incl. fans; 3-day cold holding ~10; packing line, pumps, lights ~15.</t>
  </si>
  <si>
    <t xml:space="preserve">Effective electricity tariff (incl. FPPPA, duty, DG backup)</t>
  </si>
  <si>
    <t xml:space="preserve">₹/kWh</t>
  </si>
  <si>
    <t xml:space="preserve">[S13] Effective LT/HT industrial cost in Gujarat ≈ ₹7.5–8.5/kWh after FPPPA, demand charges &amp; duty; +DG backup.</t>
  </si>
  <si>
    <t xml:space="preserve">Statutory loading on salaries (PF, ESI, bonus, gratuity)</t>
  </si>
  <si>
    <t xml:space="preserve">% of salary</t>
  </si>
  <si>
    <t xml:space="preserve">Export carton – 13 kg top/bottom telescopic (3-ply top, 5-ply bottom)</t>
  </si>
  <si>
    <t xml:space="preserve">₹/carton</t>
  </si>
  <si>
    <t xml:space="preserve">[S9] IndiaMART, Nashik supplier, 2026. Reviewer note in your draft says ₹84 alone ≈ ₹6.46/kg.</t>
  </si>
  <si>
    <t xml:space="preserve">Export polyliner / Banavac bag</t>
  </si>
  <si>
    <t xml:space="preserve">Cushion pad / paper sheet</t>
  </si>
  <si>
    <t xml:space="preserve">Brand stickers &amp; carton labels</t>
  </si>
  <si>
    <t xml:space="preserve">Domestic premium carton (printed, 13 kg)</t>
  </si>
  <si>
    <t xml:space="preserve">Lighter spec than export box; returnable crates are cheaper if buyer accepts.</t>
  </si>
  <si>
    <t xml:space="preserve">Domestic liner</t>
  </si>
  <si>
    <t xml:space="preserve">Domestic brand stickers/labels</t>
  </si>
  <si>
    <t xml:space="preserve">Export chain (per 40' HC reefer, factory-stuffed at Vadodara)</t>
  </si>
  <si>
    <t xml:space="preserve">Export selling price, CIF Gulf (premium grade)</t>
  </si>
  <si>
    <t xml:space="preserve">US$ per 13 kg carton</t>
  </si>
  <si>
    <t xml:space="preserve">[S14] Al Aweer (Dubai) wholesale for Indian bananas AED 16–30 per 13 kg (≈US$4.4–8.2). Exporter list quotes of $12–16 CIF [S15] look like asking prices. [S16] Indian export prices fell ~33–50% during the 2026 Gulf disruption.</t>
  </si>
  <si>
    <t xml:space="preserve">Reefer haulage Vadodara → Nhava Sheva / Mundra (with genset)</t>
  </si>
  <si>
    <t xml:space="preserve">₹/container</t>
  </si>
  <si>
    <t xml:space="preserve">Your draft (₹3/kg).</t>
  </si>
  <si>
    <t xml:space="preserve">Origin THC, seal, B/L, VGM</t>
  </si>
  <si>
    <t xml:space="preserve">CHA, customs, phytosanitary, CoO, documentation</t>
  </si>
  <si>
    <t xml:space="preserve">Your draft.</t>
  </si>
  <si>
    <t xml:space="preserve">Residue (MRL) test + ethylene absorber + temp logger</t>
  </si>
  <si>
    <t xml:space="preserve">Pesticide-residue test at APEDA/EIC-recognised lab + consumables.</t>
  </si>
  <si>
    <t xml:space="preserve">Ocean freight, 40' reefer W. India → UAE (base, pre-crisis)</t>
  </si>
  <si>
    <t xml:space="preserve">US$/container</t>
  </si>
  <si>
    <t xml:space="preserve">[S17] 40' dry Mundra–Jebel Ali $1,500–2,000; reefer premium on top. Reviewer note in your draft: $1,500–3,000.</t>
  </si>
  <si>
    <t xml:space="preserve">Gulf emergency / war-risk surcharge</t>
  </si>
  <si>
    <t xml:space="preserve">US$/reefer</t>
  </si>
  <si>
    <t xml:space="preserve">[S18][S19] 2026 Hormuz crisis: MSC $4,000/reefer, Hapag-Lloyd $3,500/reefer, Maersk up to $4,800 (9-Sep-2026 update). Strait effectively closed as of 25-Sep-2026.</t>
  </si>
  <si>
    <t xml:space="preserve">Apply war-risk surcharge? (1 = yes, 0 = no)</t>
  </si>
  <si>
    <t xml:space="preserve">switch</t>
  </si>
  <si>
    <t xml:space="preserve">Set to 1 to reflect current (Sep-2026) market; 0 for a normalised year.</t>
  </si>
  <si>
    <t xml:space="preserve">Marine insurance</t>
  </si>
  <si>
    <t xml:space="preserve">% of CIF value</t>
  </si>
  <si>
    <t xml:space="preserve">War-risk cover may add more during the crisis.</t>
  </si>
  <si>
    <t xml:space="preserve">Bank, forex &amp; ECGC export credit insurance</t>
  </si>
  <si>
    <t xml:space="preserve">% of revenue</t>
  </si>
  <si>
    <t xml:space="preserve">Quality claims / rejections at destination</t>
  </si>
  <si>
    <t xml:space="preserve">[S16] Transit times stretched from 5–7 days to 20–30 days in 2026 → higher ripening/spoilage claims.</t>
  </si>
  <si>
    <t xml:space="preserve">RoDTEP export incentive for fresh banana</t>
  </si>
  <si>
    <t xml:space="preserve">% of FOB</t>
  </si>
  <si>
    <t xml:space="preserve">Not found</t>
  </si>
  <si>
    <t xml:space="preserve">Could not verify the current RoDTEP rate for HS 0803 – left blank (treated as 0). Check DGFT Appendix 4R.</t>
  </si>
  <si>
    <t xml:space="preserve">Domestic premium chain</t>
  </si>
  <si>
    <t xml:space="preserve">Domestic selling price – premium green (pre-ripened) fruit, cartoned, delivered to buyer DC/ripening centre</t>
  </si>
  <si>
    <t xml:space="preserve">₹/kg</t>
  </si>
  <si>
    <t xml:space="preserve">[S20] Gujarat mandi range ₹12–45/kg (Aug-2026); Vadodara wholesale ~₹47/kg and retail ₹54–68/kg (ripe). [S21] BigBasket Robusta ₹30–60/kg retail. Premium green fruit to modern trade typically ~45–55% of retail.</t>
  </si>
  <si>
    <t xml:space="preserve">Reefer truck payload (32 ft)</t>
  </si>
  <si>
    <t xml:space="preserve">kg/trip</t>
  </si>
  <si>
    <t xml:space="preserve">Reefer trip cost – Ahmedabad (~110 km)</t>
  </si>
  <si>
    <t xml:space="preserve">₹/trip</t>
  </si>
  <si>
    <t xml:space="preserve">Indicative – obtain transporter quotes.</t>
  </si>
  <si>
    <t xml:space="preserve">Reefer trip cost – Mumbai/Pune (~420 km)</t>
  </si>
  <si>
    <t xml:space="preserve">Reefer trip cost – Delhi NCR (~950 km)</t>
  </si>
  <si>
    <t xml:space="preserve">Domestic volume mix – Ahmedabad</t>
  </si>
  <si>
    <t xml:space="preserve">Domestic volume mix – Mumbai/Pune</t>
  </si>
  <si>
    <t xml:space="preserve">Domestic volume mix – Delhi NCR</t>
  </si>
  <si>
    <t xml:space="preserve">Mix must total 100%.</t>
  </si>
  <si>
    <t xml:space="preserve">Trade schemes, listing fees &amp; claims (modern trade)</t>
  </si>
  <si>
    <t xml:space="preserve">Receivable days (modern trade)</t>
  </si>
  <si>
    <t xml:space="preserve">Capex financing</t>
  </si>
  <si>
    <t xml:space="preserve">MIDH / NHB capital subsidy (general area)</t>
  </si>
  <si>
    <t xml:space="preserve">% of eligible cost</t>
  </si>
  <si>
    <t xml:space="preserve">[S22] MIDH: 35% credit-linked back-ended subsidy in general areas (50% in NE/hilly/ITDP). Gujarat may top up – check state Horticulture Dept.</t>
  </si>
  <si>
    <t xml:space="preserve">Promoter equity share of project cost</t>
  </si>
  <si>
    <t xml:space="preserve">Banks typically require 20–25% margin money.</t>
  </si>
  <si>
    <t xml:space="preserve">Bank term-loan interest rate</t>
  </si>
  <si>
    <t xml:space="preserve">[S23] 10–12% typical for agri-infra term loans (2026).</t>
  </si>
  <si>
    <t xml:space="preserve">AIF interest subvention</t>
  </si>
  <si>
    <t xml:space="preserve">[S23] Agriculture Infrastructure Fund: 3% subvention on loans up to ₹2 crore for 7 years; CGTMSE cover.</t>
  </si>
  <si>
    <t xml:space="preserve">AIF subvention loan cap</t>
  </si>
  <si>
    <t xml:space="preserve">₹</t>
  </si>
  <si>
    <t xml:space="preserve">[S23]</t>
  </si>
  <si>
    <t xml:space="preserve">Loan tenure</t>
  </si>
  <si>
    <t xml:space="preserve">Farm Economics – cost of growing export-grade G9 bananas (per acre, per crop, and for 150 acres)</t>
  </si>
  <si>
    <t xml:space="preserve">Plant crop + 1 ratoon cycle. Green = linked from Inputs · Blue = input · Black = formula. Harvest labour is in Packhouse Opex.</t>
  </si>
  <si>
    <t xml:space="preserve">Cost item</t>
  </si>
  <si>
    <t xml:space="preserve">Plant crop (₹/acre)</t>
  </si>
  <si>
    <t xml:space="preserve">Ratoon crop (₹/acre)</t>
  </si>
  <si>
    <t xml:space="preserve">Basis</t>
  </si>
  <si>
    <t xml:space="preserve">Source / note</t>
  </si>
  <si>
    <t xml:space="preserve">Land lease (for crop duration)</t>
  </si>
  <si>
    <t xml:space="preserve">Lease ₹/acre/yr × months/12</t>
  </si>
  <si>
    <t xml:space="preserve">[S5]</t>
  </si>
  <si>
    <t xml:space="preserve">Land preparation, pits &amp; planting</t>
  </si>
  <si>
    <t xml:space="preserve">Ploughing, harrowing, pit digging, basal application</t>
  </si>
  <si>
    <t xml:space="preserve">Tissue-culture plantlets</t>
  </si>
  <si>
    <t xml:space="preserve">Plants × (1+gap-fill) × price</t>
  </si>
  <si>
    <t xml:space="preserve">[S3] Plantlets are ~20–23% of total cost in Gujarat studies [S7].</t>
  </si>
  <si>
    <t xml:space="preserve">FYM / organic manure</t>
  </si>
  <si>
    <t xml:space="preserve">~10 t/acre @ ~₹1,500/t (can be replaced by own vermicompost – see Waste tab)</t>
  </si>
  <si>
    <t xml:space="preserve">Water-soluble fertilisers (fertigation NPK)</t>
  </si>
  <si>
    <t xml:space="preserve">Drip fertigation schedule for G9</t>
  </si>
  <si>
    <t xml:space="preserve">[S3] Total cost ₹0.84–1.25 lakh/acre excluding rent; fertiliser is the largest input after plantlets.</t>
  </si>
  <si>
    <t xml:space="preserve">Micronutrients &amp; bio-fertilisers</t>
  </si>
  <si>
    <t xml:space="preserve">Zn, B, Fe, Mg + PSB/Azotobacter/Trichoderma</t>
  </si>
  <si>
    <t xml:space="preserve">Plant protection (fungicides, insecticides, herbicides)</t>
  </si>
  <si>
    <t xml:space="preserve">Sigatoka, thrips, weevil control</t>
  </si>
  <si>
    <t xml:space="preserve">Bunch covers</t>
  </si>
  <si>
    <t xml:space="preserve">Plants × ₹/cover</t>
  </si>
  <si>
    <t xml:space="preserve">Propping (bamboo / PP rope)</t>
  </si>
  <si>
    <t xml:space="preserve">Prevents lodging of heavy bunches</t>
  </si>
  <si>
    <t xml:space="preserve">Drip &amp; fertigation depreciation</t>
  </si>
  <si>
    <t xml:space="preserve">Capex ÷ life × months/12</t>
  </si>
  <si>
    <t xml:space="preserve">[S8]</t>
  </si>
  <si>
    <t xml:space="preserve">Irrigation power &amp; water</t>
  </si>
  <si>
    <t xml:space="preserve">Agricultural power tariff is subsidised in Gujarat</t>
  </si>
  <si>
    <t xml:space="preserve">Field labour (excl. harvest)</t>
  </si>
  <si>
    <t xml:space="preserve">Man-days × wage</t>
  </si>
  <si>
    <t xml:space="preserve">[S6][S7]</t>
  </si>
  <si>
    <t xml:space="preserve">Crop insurance</t>
  </si>
  <si>
    <t xml:space="preserve">Premium &amp; sum insured for banana in Vadodara not verifiable</t>
  </si>
  <si>
    <t xml:space="preserve">Left blank – check PMFBY/RWBCIS notified rates for your taluka.</t>
  </si>
  <si>
    <t xml:space="preserve">Interest on working capital (50% of cost, crop duration)</t>
  </si>
  <si>
    <t xml:space="preserve">KCC rate × 50% avg outstanding × months/12</t>
  </si>
  <si>
    <t xml:space="preserve">Total cost per acre per crop</t>
  </si>
  <si>
    <t xml:space="preserve">Yield (t/acre)</t>
  </si>
  <si>
    <t xml:space="preserve">Cost per kg of bunch harvested (₹/kg)</t>
  </si>
  <si>
    <t xml:space="preserve">Annualised for the whole farm</t>
  </si>
  <si>
    <t xml:space="preserve">Crop cycle (plant + ratoon), months</t>
  </si>
  <si>
    <t xml:space="preserve">Cultivation cost per acre per year (₹)</t>
  </si>
  <si>
    <t xml:space="preserve">Cultivation cost – 150 acres per year (₹)</t>
  </si>
  <si>
    <t xml:space="preserve">Farm fixed overheads (annual)</t>
  </si>
  <si>
    <t xml:space="preserve">Role / item</t>
  </si>
  <si>
    <t xml:space="preserve">Headcount</t>
  </si>
  <si>
    <t xml:space="preserve">₹ per month</t>
  </si>
  <si>
    <t xml:space="preserve">Annual cost (₹)</t>
  </si>
  <si>
    <t xml:space="preserve">Note</t>
  </si>
  <si>
    <t xml:space="preserve">Agronomist / farm manager</t>
  </si>
  <si>
    <t xml:space="preserve">Field supervisors (≈50 acres each)</t>
  </si>
  <si>
    <t xml:space="preserve">Farm vehicle, tools, soil &amp; leaf testing, misc.</t>
  </si>
  <si>
    <t xml:space="preserve">Total farm fixed overheads</t>
  </si>
  <si>
    <t xml:space="preserve">Farm summary</t>
  </si>
  <si>
    <t xml:space="preserve">Total annual farm cost (cultivation + fixed) (₹)</t>
  </si>
  <si>
    <t xml:space="preserve">Own cost per kg of bunch (₹/kg)</t>
  </si>
  <si>
    <t xml:space="preserve">Own cost per kg of sellable packed fruit (₹/kg)</t>
  </si>
  <si>
    <t xml:space="preserve">Make vs buy check</t>
  </si>
  <si>
    <t xml:space="preserve">Market farm-gate price, annual average (₹/kg)</t>
  </si>
  <si>
    <t xml:space="preserve">Your draft: avg ₹15; ₹11 in peak season to ₹21 in lean season</t>
  </si>
  <si>
    <t xml:space="preserve">Saving from growing your own vs buying (₹/kg bunch)</t>
  </si>
  <si>
    <t xml:space="preserve">Annual value of growing own (₹)</t>
  </si>
  <si>
    <t xml:space="preserve">Volumes, mass balance &amp; harvest seasonality (steady-state year)</t>
  </si>
  <si>
    <t xml:space="preserve">Answers: how much fruit, how many boxes/containers/trucks, and how long harvest lasts.</t>
  </si>
  <si>
    <t xml:space="preserve">Item</t>
  </si>
  <si>
    <t xml:space="preserve">Formula / note</t>
  </si>
  <si>
    <t xml:space="preserve">Mass balance</t>
  </si>
  <si>
    <t xml:space="preserve">Crops per year (plant + ratoon cycle)</t>
  </si>
  <si>
    <t xml:space="preserve">crops/yr</t>
  </si>
  <si>
    <t xml:space="preserve">2 crops per plant+ratoon cycle</t>
  </si>
  <si>
    <t xml:space="preserve">Annual bunch harvest</t>
  </si>
  <si>
    <t xml:space="preserve">t/yr</t>
  </si>
  <si>
    <t xml:space="preserve">Acres × (plant + ratoon yield) ÷ cycle months × 12</t>
  </si>
  <si>
    <t xml:space="preserve">  less: stalks / rachis (→ compost)</t>
  </si>
  <si>
    <t xml:space="preserve">Fruit (hands) after de-handing</t>
  </si>
  <si>
    <t xml:space="preserve">  less: rejects / B-grade culls (→ banana flour)</t>
  </si>
  <si>
    <t xml:space="preserve">Premium-only: no B-grade fresh sales</t>
  </si>
  <si>
    <t xml:space="preserve">Graded premium fruit</t>
  </si>
  <si>
    <t xml:space="preserve">  less: pre-cooling &amp; handling weight loss</t>
  </si>
  <si>
    <t xml:space="preserve">Sellable packed fruit</t>
  </si>
  <si>
    <t xml:space="preserve">Basis for per-kg unit economics</t>
  </si>
  <si>
    <t xml:space="preserve">  Export (25%)</t>
  </si>
  <si>
    <t xml:space="preserve">  Domestic premium (75%)</t>
  </si>
  <si>
    <t xml:space="preserve">Export cartons</t>
  </si>
  <si>
    <t xml:space="preserve">cartons/yr</t>
  </si>
  <si>
    <t xml:space="preserve">Domestic cartons</t>
  </si>
  <si>
    <t xml:space="preserve">Export containers (40' HC reefer)</t>
  </si>
  <si>
    <t xml:space="preserve">containers/yr</t>
  </si>
  <si>
    <t xml:space="preserve">  per month</t>
  </si>
  <si>
    <t xml:space="preserve">containers/month</t>
  </si>
  <si>
    <t xml:space="preserve">Domestic reefer truck trips</t>
  </si>
  <si>
    <t xml:space="preserve">Pseudostem biomass generated</t>
  </si>
  <si>
    <t xml:space="preserve">Plants × kg/plant × crops/yr</t>
  </si>
  <si>
    <t xml:space="preserve">Pack-out (sellable ÷ bunch weight)</t>
  </si>
  <si>
    <t xml:space="preserve">Throughput &amp; sizing</t>
  </si>
  <si>
    <t xml:space="preserve">Average bunch intake per operating day</t>
  </si>
  <si>
    <t xml:space="preserve">Peak-day bunch intake</t>
  </si>
  <si>
    <t xml:space="preserve">Size pre-cooling for this</t>
  </si>
  <si>
    <t xml:space="preserve">Peak-day sellable fruit to pre-cool</t>
  </si>
  <si>
    <t xml:space="preserve">2 × 6 MT forced-air units at 2 cycles/day ≈ 24 t/day</t>
  </si>
  <si>
    <t xml:space="preserve">Cold-room holding need (3 days of sellable at peak)</t>
  </si>
  <si>
    <t xml:space="preserve">t</t>
  </si>
  <si>
    <t xml:space="preserve">100 MT cold room provides headroom for container build-up</t>
  </si>
  <si>
    <t xml:space="preserve">Harvest crew-days needed per year</t>
  </si>
  <si>
    <t xml:space="preserve">crew-days</t>
  </si>
  <si>
    <t xml:space="preserve">Your 13 t/crew-day benchmark</t>
  </si>
  <si>
    <t xml:space="preserve">Harvest seasonality – staggered planting plan (answers 'how many days is the harvest')</t>
  </si>
  <si>
    <t xml:space="preserve">Harvest window of one tissue-culture plot</t>
  </si>
  <si>
    <t xml:space="preserve">Estimate: TC plants shoot fairly uniformly, so a plot is harvested in 2–3 rounds over ~6–10 weeks (plant crop matures 11–12 months after planting [S2]). Ratoon harvest is more spread out.</t>
  </si>
  <si>
    <t xml:space="preserve">Number of planting batches</t>
  </si>
  <si>
    <t xml:space="preserve">batches</t>
  </si>
  <si>
    <t xml:space="preserve">Estimate – 6 batches × 25 acres, planted every 2 months, gives near-continuous supply for the packhouse.</t>
  </si>
  <si>
    <t xml:space="preserve">Planting interval</t>
  </si>
  <si>
    <t xml:space="preserve">First planting month (1 = Jan)</t>
  </si>
  <si>
    <t xml:space="preserve">month #</t>
  </si>
  <si>
    <t xml:space="preserve">June planting (monsoon onset) is common in central Gujarat.</t>
  </si>
  <si>
    <t xml:space="preserve">Months from planting to first harvest</t>
  </si>
  <si>
    <t xml:space="preserve">[S2]</t>
  </si>
  <si>
    <t xml:space="preserve">Batch</t>
  </si>
  <si>
    <t xml:space="preserve">Acres</t>
  </si>
  <si>
    <t xml:space="preserve">Planting month</t>
  </si>
  <si>
    <t xml:space="preserve">Plant-crop harvest starts / Ratoon harvest starts</t>
  </si>
  <si>
    <t xml:space="preserve">Farm-gate price seasonality</t>
  </si>
  <si>
    <t xml:space="preserve">Your draft: ~₹11/kg in peak arrival season to ~₹21/kg in lean season (avg ₹15). Gujarat mandis showed ₹12–45/kg across markets in Aug-2026 [S20]. Staggering planting lets you sell more in lean months; lock premium buyers into fixed-price annual contracts to de-risk.</t>
  </si>
  <si>
    <t xml:space="preserve">Packhouse, pre-cooling &amp; cold storage – capital cost, subsidy and financing</t>
  </si>
  <si>
    <t xml:space="preserve">Market prices (2025-26) vs MIDH subsidy cost norms. Subsidy is credit-linked &amp; back-ended, computed on the lower of actual cost and norm.</t>
  </si>
  <si>
    <t xml:space="preserve">Qty</t>
  </si>
  <si>
    <t xml:space="preserve">Unit cost (₹)</t>
  </si>
  <si>
    <t xml:space="preserve">Amount (₹)</t>
  </si>
  <si>
    <t xml:space="preserve">MIDH norm cap (₹)</t>
  </si>
  <si>
    <t xml:space="preserve">Subsidy-eligible (₹)</t>
  </si>
  <si>
    <t xml:space="preserve">Subsidy (₹)</t>
  </si>
  <si>
    <t xml:space="preserve">Life (yrs)</t>
  </si>
  <si>
    <t xml:space="preserve">Depreciation (₹/yr)</t>
  </si>
  <si>
    <t xml:space="preserve">Site development (levelling, internal road, boundary, drainage)</t>
  </si>
  <si>
    <t xml:space="preserve">lot</t>
  </si>
  <si>
    <t xml:space="preserve">not eligible</t>
  </si>
  <si>
    <t xml:space="preserve">Land itself not included (leased – see Opex).</t>
  </si>
  <si>
    <t xml:space="preserve">Integrated pack house (PEB shed ≥9×18 m, de-handing &amp; wash tanks, conveyor, grading tables, weighing, drying)</t>
  </si>
  <si>
    <t xml:space="preserve">unit</t>
  </si>
  <si>
    <t xml:space="preserve">[S24] Integrated grading/packing pack house listed at ₹90 lakh/unit (Surat). MIDH norm ₹50 lakh/unit (9×18 m) [S22].</t>
  </si>
  <si>
    <t xml:space="preserve">Forced-air pre-cooling unit, 6 MT/batch</t>
  </si>
  <si>
    <t xml:space="preserve">MIDH norm ₹25 lakh per 6 MT unit [S22]; market ~20% above norm.</t>
  </si>
  <si>
    <t xml:space="preserve">Cold room / staging cold store (13–14 °C)</t>
  </si>
  <si>
    <t xml:space="preserve">MT</t>
  </si>
  <si>
    <t xml:space="preserve">[S25] Multi-commodity cold storage ₹14,000–18,000/MT at scale; small rooms cost more per MT. MIDH norm ~₹8,000/MT.</t>
  </si>
  <si>
    <t xml:space="preserve">Electrical: transformer / HT connection, panels, cabling</t>
  </si>
  <si>
    <t xml:space="preserve">DG set 125 kVA (backup for refrigeration)</t>
  </si>
  <si>
    <t xml:space="preserve">Water: borewell, storage, filtration, wash-water treatment</t>
  </si>
  <si>
    <t xml:space="preserve">Plastic field crates</t>
  </si>
  <si>
    <t xml:space="preserve">crates</t>
  </si>
  <si>
    <t xml:space="preserve">Bunches/hands must never touch the ground for export grade.</t>
  </si>
  <si>
    <t xml:space="preserve">Material handling: pallet trucks, platform scales, carton sealing</t>
  </si>
  <si>
    <t xml:space="preserve">QC lab (brix, firmness, data loggers) + office &amp; IT</t>
  </si>
  <si>
    <t xml:space="preserve">Contingency &amp; pre-operative expenses (5%)</t>
  </si>
  <si>
    <t xml:space="preserve">TOTAL PACKHOUSE PROJECT COST</t>
  </si>
  <si>
    <t xml:space="preserve">Financing (Agriculture Infrastructure Fund + MIDH subsidy)</t>
  </si>
  <si>
    <t xml:space="preserve">Total project cost (₹)</t>
  </si>
  <si>
    <t xml:space="preserve">Promoter equity (₹)</t>
  </si>
  <si>
    <t xml:space="preserve">Term loan sanctioned (₹)</t>
  </si>
  <si>
    <t xml:space="preserve">MIDH subsidy (back-ended, adjusted against loan) (₹)</t>
  </si>
  <si>
    <t xml:space="preserve">Net loan to be serviced (₹)</t>
  </si>
  <si>
    <t xml:space="preserve">Effective interest rate after AIF subvention</t>
  </si>
  <si>
    <t xml:space="preserve">Annual debt service – EMI basis (₹/yr)</t>
  </si>
  <si>
    <t xml:space="preserve">Average annual interest over tenure (₹/yr)</t>
  </si>
  <si>
    <t xml:space="preserve">Annual depreciation – packhouse (₹/yr)</t>
  </si>
  <si>
    <t xml:space="preserve">Capex per tonne of annual bunch intake (₹/t)</t>
  </si>
  <si>
    <t xml:space="preserve">Note: depreciation is charged on gross cost (conservative). If the subsidy is booked as a capital grant, depreciation falls by ~subsidy ÷ asset life.</t>
  </si>
  <si>
    <t xml:space="preserve">Packhouse, pre-cooling &amp; cold-storage operating costs – fixed and variable</t>
  </si>
  <si>
    <t xml:space="preserve">Common costs shared by export and domestic (channel-specific packaging &amp; logistics are in 'Unit Economics').</t>
  </si>
  <si>
    <t xml:space="preserve">Qty / driver</t>
  </si>
  <si>
    <t xml:space="preserve">Driver unit</t>
  </si>
  <si>
    <t xml:space="preserve">Rate</t>
  </si>
  <si>
    <t xml:space="preserve">Rate unit</t>
  </si>
  <si>
    <t xml:space="preserve">₹ per kg sellable</t>
  </si>
  <si>
    <t xml:space="preserve">A. Fixed costs – staff (annual)</t>
  </si>
  <si>
    <t xml:space="preserve">Packhouse manager</t>
  </si>
  <si>
    <t xml:space="preserve">headcount</t>
  </si>
  <si>
    <t xml:space="preserve">₹/month</t>
  </si>
  <si>
    <t xml:space="preserve">QA / food-safety &amp; export documentation executive</t>
  </si>
  <si>
    <t xml:space="preserve">Shift / labour supervisors (your 'labour manager')</t>
  </si>
  <si>
    <t xml:space="preserve">Refrigeration &amp; maintenance technicians</t>
  </si>
  <si>
    <t xml:space="preserve">Accounts &amp; admin</t>
  </si>
  <si>
    <t xml:space="preserve">Security guards</t>
  </si>
  <si>
    <t xml:space="preserve">[S6] Guard ≈ minimum wage ₹13,325/month</t>
  </si>
  <si>
    <t xml:space="preserve">Sales / key-account manager (modern trade &amp; export buyers)</t>
  </si>
  <si>
    <t xml:space="preserve">B. Fixed costs – other (annual)</t>
  </si>
  <si>
    <t xml:space="preserve">Electricity fixed / demand charges</t>
  </si>
  <si>
    <t xml:space="preserve">kW contract demand</t>
  </si>
  <si>
    <t xml:space="preserve">₹/kW/month</t>
  </si>
  <si>
    <t xml:space="preserve">Gujarat LTMD fixed charges ₹50–85/kW for first 40 kW, higher beyond [S13].</t>
  </si>
  <si>
    <t xml:space="preserve">Repairs &amp; maintenance</t>
  </si>
  <si>
    <t xml:space="preserve">₹ capex</t>
  </si>
  <si>
    <t xml:space="preserve">% of capex</t>
  </si>
  <si>
    <t xml:space="preserve">Refrigeration-heavy asset base.</t>
  </si>
  <si>
    <t xml:space="preserve">Insurance (fire, machinery breakdown, stock)</t>
  </si>
  <si>
    <t xml:space="preserve">Certifications: GlobalG.A.P., APEDA pack-house recognition, FSSAI</t>
  </si>
  <si>
    <t xml:space="preserve">₹/yr</t>
  </si>
  <si>
    <t xml:space="preserve">Required for export &amp; most premium retail buyers.</t>
  </si>
  <si>
    <t xml:space="preserve">Packhouse site lease (~1 acre, Vadodara outskirts)</t>
  </si>
  <si>
    <t xml:space="preserve">acre</t>
  </si>
  <si>
    <t xml:space="preserve">Set to 0 if you build on your own land.</t>
  </si>
  <si>
    <t xml:space="preserve">Admin overheads (office, telecom, travel, software, audit, legal)</t>
  </si>
  <si>
    <t xml:space="preserve">TOTAL FIXED PACKHOUSE COST</t>
  </si>
  <si>
    <t xml:space="preserve">C. Variable costs (common to both channels)</t>
  </si>
  <si>
    <t xml:space="preserve">Harvest crew (carriers + cutters)</t>
  </si>
  <si>
    <t xml:space="preserve">kg bunch</t>
  </si>
  <si>
    <t xml:space="preserve">Your note: 13 people × ₹1,000 per 13 t.</t>
  </si>
  <si>
    <t xml:space="preserve">Packhouse labour</t>
  </si>
  <si>
    <t xml:space="preserve">operating days</t>
  </si>
  <si>
    <t xml:space="preserve">[S6] Workers × minimum wage</t>
  </si>
  <si>
    <t xml:space="preserve">kg fruit</t>
  </si>
  <si>
    <t xml:space="preserve">Your draft</t>
  </si>
  <si>
    <t xml:space="preserve">Electricity – pre-cooling, cold room, packing line</t>
  </si>
  <si>
    <t xml:space="preserve">t sellable</t>
  </si>
  <si>
    <t xml:space="preserve">₹/t</t>
  </si>
  <si>
    <t xml:space="preserve">kWh/t × effective tariff [S13]</t>
  </si>
  <si>
    <t xml:space="preserve">TOTAL COMMON VARIABLE COST</t>
  </si>
  <si>
    <t xml:space="preserve">Cold storage &amp; pre-cooling are owned, so their cost appears as electricity (variable), demand charges/R&amp;M/insurance (fixed) and depreciation/interest (capex tab) rather than a rental fee. Benchmark if you rented instead: ~₹0.30/kg/day ripening/cold-room rent [S26].</t>
  </si>
  <si>
    <t xml:space="preserve">Unit economics – export vs domestic premium (₹ per kg, per carton, per container / truck)</t>
  </si>
  <si>
    <t xml:space="preserve">All costs allocated per kg of sellable packed fruit. Export priced CIF Gulf; domestic priced delivered to buyer's DC/ripening centre.</t>
  </si>
  <si>
    <t xml:space="preserve">Line item</t>
  </si>
  <si>
    <t xml:space="preserve">Export ₹/kg</t>
  </si>
  <si>
    <t xml:space="preserve">Domestic ₹/kg</t>
  </si>
  <si>
    <t xml:space="preserve">Export ₹/carton</t>
  </si>
  <si>
    <t xml:space="preserve">Export ₹/container</t>
  </si>
  <si>
    <t xml:space="preserve">Domestic ₹/carton</t>
  </si>
  <si>
    <t xml:space="preserve">Domestic ₹/truck</t>
  </si>
  <si>
    <t xml:space="preserve">How calculated</t>
  </si>
  <si>
    <t xml:space="preserve">Revenue</t>
  </si>
  <si>
    <t xml:space="preserve">Export: US$/carton × FX ÷ kg/carton. Domestic: input.</t>
  </si>
  <si>
    <t xml:space="preserve">Variable costs</t>
  </si>
  <si>
    <t xml:space="preserve">Own farm cultivation cost (incl. farm overheads)</t>
  </si>
  <si>
    <t xml:space="preserve">Annual farm cost ÷ sellable kg (rejects &amp; stalks carry no cost)</t>
  </si>
  <si>
    <t xml:space="preserve">Harvest crew + farm→packhouse transport</t>
  </si>
  <si>
    <t xml:space="preserve">Packhouse Opex tab</t>
  </si>
  <si>
    <t xml:space="preserve">Post-harvest chemicals, water</t>
  </si>
  <si>
    <t xml:space="preserve">Power – pre-cooling, cold storage, line</t>
  </si>
  <si>
    <t xml:space="preserve">Packaging (carton, liner, pad, labels)</t>
  </si>
  <si>
    <t xml:space="preserve">₹/carton ÷ kg/carton</t>
  </si>
  <si>
    <t xml:space="preserve">Residue testing, ethylene absorber, temp logger</t>
  </si>
  <si>
    <t xml:space="preserve">Per container ÷ kg per container</t>
  </si>
  <si>
    <t xml:space="preserve">Transport to port / to domestic buyer (reefer)</t>
  </si>
  <si>
    <t xml:space="preserve">Export: haulage ÷ kg/container. Domestic: mix-weighted trip cost ÷ payload</t>
  </si>
  <si>
    <t xml:space="preserve">Port THC + CHA, customs, phytosanitary, docs</t>
  </si>
  <si>
    <t xml:space="preserve">US$ × FX ÷ kg per container</t>
  </si>
  <si>
    <t xml:space="preserve">Gulf war-risk / emergency surcharge (2026)</t>
  </si>
  <si>
    <t xml:space="preserve">Applied only if switch on Inputs = 1</t>
  </si>
  <si>
    <t xml:space="preserve">Bank/forex/ECGC · domestic: receivable financing</t>
  </si>
  <si>
    <t xml:space="preserve">Export: % of revenue. Domestic: price × rate × days/365</t>
  </si>
  <si>
    <t xml:space="preserve">Quality claims · domestic: trade schemes &amp; claims</t>
  </si>
  <si>
    <t xml:space="preserve">Less: RoDTEP export incentive (blank = not found)</t>
  </si>
  <si>
    <t xml:space="preserve">Rate not verified – left blank on Inputs</t>
  </si>
  <si>
    <t xml:space="preserve">Contribution margin</t>
  </si>
  <si>
    <t xml:space="preserve">Price − variable cost</t>
  </si>
  <si>
    <t xml:space="preserve">Fixed &amp; capital costs (allocated per kg)</t>
  </si>
  <si>
    <t xml:space="preserve">Packhouse fixed overheads</t>
  </si>
  <si>
    <t xml:space="preserve">Depreciation – packhouse, pre-cooling, cold store</t>
  </si>
  <si>
    <t xml:space="preserve">Capex tab ÷ sellable kg</t>
  </si>
  <si>
    <t xml:space="preserve">Interest (average over loan tenure)</t>
  </si>
  <si>
    <t xml:space="preserve">TOTAL COST (fully loaded)</t>
  </si>
  <si>
    <t xml:space="preserve">NET MARGIN</t>
  </si>
  <si>
    <t xml:space="preserve">Price − total cost (pre-tax)</t>
  </si>
  <si>
    <t xml:space="preserve">Net margin % of price</t>
  </si>
  <si>
    <t xml:space="preserve">Breakeven price (₹/kg)</t>
  </si>
  <si>
    <t xml:space="preserve">Col D: export breakeven in US$ per 13 kg carton (CIF)</t>
  </si>
  <si>
    <t xml:space="preserve">Blended (volume-weighted) &amp; cross-check vs your draft</t>
  </si>
  <si>
    <t xml:space="preserve">Blended selling price (₹/kg)</t>
  </si>
  <si>
    <t xml:space="preserve">Blended total cost (₹/kg)</t>
  </si>
  <si>
    <t xml:space="preserve">Blended net margin (₹/kg)</t>
  </si>
  <si>
    <t xml:space="preserve">Your draft: total landed cost CIF Dubai (₹/kg)</t>
  </si>
  <si>
    <t xml:space="preserve">From your original sheet (bought-in fruit @ ₹15/kg, no fixed costs, pre-crisis freight)</t>
  </si>
  <si>
    <t xml:space="preserve">This model: export variable cost excl. farm, war surcharge &amp; %-items (₹/kg)</t>
  </si>
  <si>
    <t xml:space="preserve">Like-for-like chain cost on top of fruit – compare with your draft's ₹18.15 (₹33.15 − ₹15 fruit)</t>
  </si>
  <si>
    <t xml:space="preserve">Sensitivity – EXPORT net margin (₹/kg) by CIF price (rows, US$/carton) and war-risk surcharge (columns, US$/reefer)</t>
  </si>
  <si>
    <t xml:space="preserve">Export cost excl. ocean surcharge &amp; %-of-price items (₹/kg)</t>
  </si>
  <si>
    <t xml:space="preserve">%-of-price cost items (insurance + bank + claims − RoDTEP)</t>
  </si>
  <si>
    <t xml:space="preserve">CIF US$/carton  \  surcharge US$/reefer →</t>
  </si>
  <si>
    <t xml:space="preserve">Sensitivity – DOMESTIC net margin (₹/kg) by delivered price</t>
  </si>
  <si>
    <t xml:space="preserve">Domestic cost excl. %-of-price items (₹/kg)</t>
  </si>
  <si>
    <t xml:space="preserve">%-of-price items (trade schemes + receivable financing)</t>
  </si>
  <si>
    <t xml:space="preserve">Delivered price ₹/kg →</t>
  </si>
  <si>
    <t xml:space="preserve">Net margin ₹/kg</t>
  </si>
  <si>
    <t xml:space="preserve">Waste streams – what can be sold, and the unit economics of each</t>
  </si>
  <si>
    <t xml:space="preserve">Streams: culls → green banana flour · pseudostem → fibre · pseudostem sap → liquid organic fertiliser · stalks &amp; trash → vermicompost. Blank yellow = no reliable figure found.</t>
  </si>
  <si>
    <t xml:space="preserve">A. Reject / B-grade fruit → Green (raw) banana flour</t>
  </si>
  <si>
    <t xml:space="preserve">Reject fruit available</t>
  </si>
  <si>
    <t xml:space="preserve">Volumes tab</t>
  </si>
  <si>
    <t xml:space="preserve">Share of rejects processed into flour</t>
  </si>
  <si>
    <t xml:space="preserve">Rest is too damaged → compost</t>
  </si>
  <si>
    <t xml:space="preserve">Fresh fruit : flour conversion</t>
  </si>
  <si>
    <t xml:space="preserve">kg fresh per kg flour</t>
  </si>
  <si>
    <t xml:space="preserve">[S27] 4:1 to 5:1; peel-on flour at the better end, 5:1 used (conservative).</t>
  </si>
  <si>
    <t xml:space="preserve">Flour output</t>
  </si>
  <si>
    <t xml:space="preserve">kg/yr</t>
  </si>
  <si>
    <t xml:space="preserve">Flour selling price (bulk B2B)</t>
  </si>
  <si>
    <t xml:space="preserve">[S27] Wholesale listings ₹140–350/kg; a major maker lists ₹230 (with peel) / ₹280 (peeled). Bulk food-ingredient buyers pay less → ₹180.</t>
  </si>
  <si>
    <t xml:space="preserve">Drying energy</t>
  </si>
  <si>
    <t xml:space="preserve">kWh per kg flour</t>
  </si>
  <si>
    <t xml:space="preserve">Electric/heat-pump dryer evaporating ~4 kg water per kg flour. Solar/biomass dryer can cut this sharply.</t>
  </si>
  <si>
    <t xml:space="preserve">Labour (washing, slicing, drying, milling)</t>
  </si>
  <si>
    <t xml:space="preserve">₹/kg flour</t>
  </si>
  <si>
    <t xml:space="preserve">Packaging (25 kg lined bags / 1 kg retail packs)</t>
  </si>
  <si>
    <t xml:space="preserve">Anti-browning (citric acid/metabisulphite), testing, misc.</t>
  </si>
  <si>
    <t xml:space="preserve">Fixed: 1 supervisor + FSSAI, lab tests, marketing</t>
  </si>
  <si>
    <t xml:space="preserve">Capex: slicer, tray/heat-pump dryer (~1 t fresh/day), pulveriser, sifter, sealer</t>
  </si>
  <si>
    <t xml:space="preserve">Get vendor quotes; PMFME scheme offers 35% credit-linked subsidy up to ₹10 lakh for micro food units.</t>
  </si>
  <si>
    <t xml:space="preserve">Capex life</t>
  </si>
  <si>
    <t xml:space="preserve">Opportunity: sell rejects to local traders instead</t>
  </si>
  <si>
    <t xml:space="preserve">₹/kg fresh</t>
  </si>
  <si>
    <t xml:space="preserve">B-grade/culls in Gujarat mandis often ₹6–12/kg [S20]</t>
  </si>
  <si>
    <t xml:space="preserve">Variable cost</t>
  </si>
  <si>
    <t xml:space="preserve">Depreciation</t>
  </si>
  <si>
    <t xml:space="preserve">Net profit (pre-tax, pre-interest)</t>
  </si>
  <si>
    <t xml:space="preserve">Net margin per kg flour</t>
  </si>
  <si>
    <t xml:space="preserve">Incremental gain vs selling rejects as-is</t>
  </si>
  <si>
    <t xml:space="preserve">Positive = processing beats selling culls</t>
  </si>
  <si>
    <t xml:space="preserve">Simple payback</t>
  </si>
  <si>
    <t xml:space="preserve">B. Pseudostem → Banana fibre (textiles, handicrafts, paper, ropes)</t>
  </si>
  <si>
    <t xml:space="preserve">Pseudostem biomass available</t>
  </si>
  <si>
    <t xml:space="preserve">Share of pseudostems collected for fibre</t>
  </si>
  <si>
    <t xml:space="preserve">Collection within the harvest window before stems rot; rest mulched in field.</t>
  </si>
  <si>
    <t xml:space="preserve">Fibre yield (dry fibre ÷ fresh pseudostem)</t>
  </si>
  <si>
    <t xml:space="preserve">[S28] 0.55–0.89% by cultivar in trials; commercial decorticators report ~1–1.5%.</t>
  </si>
  <si>
    <t xml:space="preserve">Fibre output</t>
  </si>
  <si>
    <t xml:space="preserve">Raw fibre price</t>
  </si>
  <si>
    <t xml:space="preserve">[S29] IndiaMART Feb-2026: low grade ₹135–165, standard ₹180–220, premium ₹198–242/kg.</t>
  </si>
  <si>
    <t xml:space="preserve">Decorticator capacity</t>
  </si>
  <si>
    <t xml:space="preserve">kg fibre/machine/day</t>
  </si>
  <si>
    <t xml:space="preserve">[S28] 20–30 kg/machine/day mechanical vs ~4 kg manual.</t>
  </si>
  <si>
    <t xml:space="preserve">Working days per machine</t>
  </si>
  <si>
    <t xml:space="preserve">days/yr</t>
  </si>
  <si>
    <t xml:space="preserve">Machines required</t>
  </si>
  <si>
    <t xml:space="preserve">machines</t>
  </si>
  <si>
    <t xml:space="preserve">Machine cost</t>
  </si>
  <si>
    <t xml:space="preserve">₹/machine</t>
  </si>
  <si>
    <t xml:space="preserve">[S28] US$3,000–8,000 per decorticator (≈₹2.9–7.7 lakh).</t>
  </si>
  <si>
    <t xml:space="preserve">Workers per machine</t>
  </si>
  <si>
    <t xml:space="preserve">Feeding, washing, drying</t>
  </si>
  <si>
    <t xml:space="preserve">Machine power × hours</t>
  </si>
  <si>
    <t xml:space="preserve">kWh/machine/day</t>
  </si>
  <si>
    <t xml:space="preserve">~5 kW × 8 h</t>
  </si>
  <si>
    <t xml:space="preserve">Pseudostem collection &amp; haulage</t>
  </si>
  <si>
    <t xml:space="preserve">₹/t pseudostem</t>
  </si>
  <si>
    <t xml:space="preserve">Drying, grading, baling consumables</t>
  </si>
  <si>
    <t xml:space="preserve">₹/kg fibre</t>
  </si>
  <si>
    <t xml:space="preserve">Operating cost</t>
  </si>
  <si>
    <t xml:space="preserve">Labour + power + collection + consumables</t>
  </si>
  <si>
    <t xml:space="preserve">Depreciation (5-yr life, + ₹2 lakh shed per machine)</t>
  </si>
  <si>
    <t xml:space="preserve">Net margin per kg fibre</t>
  </si>
  <si>
    <t xml:space="preserve">Capex (machines + sheds)</t>
  </si>
  <si>
    <t xml:space="preserve">C. Pseudostem sap → Liquid organic fertiliser (NAU 'Novel' type)</t>
  </si>
  <si>
    <t xml:space="preserve">Sap recovered per tonne of pseudostem</t>
  </si>
  <si>
    <t xml:space="preserve">litres/t</t>
  </si>
  <si>
    <t xml:space="preserve">Reliable commercial extraction yield not found – left blank.</t>
  </si>
  <si>
    <t xml:space="preserve">Bulk (B2B) selling price</t>
  </si>
  <si>
    <t xml:space="preserve">₹/litre</t>
  </si>
  <si>
    <t xml:space="preserve">[S30] Only branded retail 1 L prices found (₹400–850/L, Navsari Agricultural University-patented formulation) – not a sound basis for bulk sales. Left blank.</t>
  </si>
  <si>
    <t xml:space="preserve">Processing &amp; packing cost</t>
  </si>
  <si>
    <t xml:space="preserve">Left blank.</t>
  </si>
  <si>
    <t xml:space="preserve">Net profit (computes once the three cells above are filled)</t>
  </si>
  <si>
    <t xml:space="preserve">Uses the same collected pseudostem as fibre (sap is squeezed out during decortication). Licensing from NAU likely needed.</t>
  </si>
  <si>
    <t xml:space="preserve">D. Stalks, trash &amp; culls → Vermicompost</t>
  </si>
  <si>
    <t xml:space="preserve">Feedstock: stalks + unusable culls + 10% of pseudostem</t>
  </si>
  <si>
    <t xml:space="preserve">Remaining pseudostem is chopped &amp; left as field mulch (agronomic value, not monetised).</t>
  </si>
  <si>
    <t xml:space="preserve">Conversion to finished vermicompost</t>
  </si>
  <si>
    <t xml:space="preserve">% of wet feedstock</t>
  </si>
  <si>
    <t xml:space="preserve">Banana waste is ~90% water.</t>
  </si>
  <si>
    <t xml:space="preserve">Vermicompost output</t>
  </si>
  <si>
    <t xml:space="preserve">Share used on own farm (replaces bought FYM)</t>
  </si>
  <si>
    <t xml:space="preserve">Cuts farm manure bill – see Farm Economics.</t>
  </si>
  <si>
    <t xml:space="preserve">Bulk selling price / value</t>
  </si>
  <si>
    <t xml:space="preserve">[S31] Bulk vermicompost ₹5–20/kg in Gujarat (IndiaMART 2026); bulk loose at low end.</t>
  </si>
  <si>
    <t xml:space="preserve">Labour + bagging</t>
  </si>
  <si>
    <t xml:space="preserve">₹/kg compost</t>
  </si>
  <si>
    <t xml:space="preserve">Capex: beds/shed, earthworms, shredder</t>
  </si>
  <si>
    <t xml:space="preserve">Revenue (external sales) + value of own use</t>
  </si>
  <si>
    <t xml:space="preserve">Depreciation (5-yr life)</t>
  </si>
  <si>
    <t xml:space="preserve">Net profit</t>
  </si>
  <si>
    <t xml:space="preserve">Net margin per kg compost</t>
  </si>
  <si>
    <t xml:space="preserve">E. Other by-products considered (not modelled)</t>
  </si>
  <si>
    <t xml:space="preserve">Banana leaves (plates / catering)</t>
  </si>
  <si>
    <t xml:space="preserve">Limited demand in Gujarat vs South India – no reliable price found. Left out.</t>
  </si>
  <si>
    <t xml:space="preserve">Pseudostem inner core (vegetable, pickles, juice)</t>
  </si>
  <si>
    <t xml:space="preserve">Niche; no bulk price found.</t>
  </si>
  <si>
    <t xml:space="preserve">Peel → cattle feed / biogas</t>
  </si>
  <si>
    <t xml:space="preserve">Only generated if you peel for flour; peel-on flour chosen instead.</t>
  </si>
  <si>
    <t xml:space="preserve">Carbon credits from composting / mulching</t>
  </si>
  <si>
    <t xml:space="preserve">Small volume, verification cost too high at this scale.</t>
  </si>
  <si>
    <t xml:space="preserve">Waste valorisation – summary</t>
  </si>
  <si>
    <t xml:space="preserve">Total by-product revenue</t>
  </si>
  <si>
    <t xml:space="preserve">Total by-product operating cost</t>
  </si>
  <si>
    <t xml:space="preserve">By-product EBITDA</t>
  </si>
  <si>
    <t xml:space="preserve">By-product depreciation</t>
  </si>
  <si>
    <t xml:space="preserve">By-product capex</t>
  </si>
  <si>
    <t xml:space="preserve">By-product EBITDA per kg of sellable fruit</t>
  </si>
  <si>
    <t xml:space="preserve">Adds to the fresh-fruit margin</t>
  </si>
  <si>
    <t xml:space="preserve">Consolidated annual P&amp;L – farm + packhouse + by-products (steady-state year)</t>
  </si>
  <si>
    <t xml:space="preserve">Column B follows the war-risk switch on Inputs (currently ON = Sep-2026 conditions). Column D shows a normalised year with no surcharge.</t>
  </si>
  <si>
    <t xml:space="preserve">Line item (₹/yr)</t>
  </si>
  <si>
    <t xml:space="preserve">As set on Inputs</t>
  </si>
  <si>
    <t xml:space="preserve">Export fresh bananas</t>
  </si>
  <si>
    <t xml:space="preserve">Domestic premium fresh bananas</t>
  </si>
  <si>
    <t xml:space="preserve">By-products (flour, fibre, compost)</t>
  </si>
  <si>
    <t xml:space="preserve">TOTAL REVENUE</t>
  </si>
  <si>
    <t xml:space="preserve">Operating costs</t>
  </si>
  <si>
    <t xml:space="preserve">Farm cultivation + farm overheads</t>
  </si>
  <si>
    <t xml:space="preserve">Harvest, packhouse labour, chemicals, power</t>
  </si>
  <si>
    <t xml:space="preserve">Packaging – export + domestic</t>
  </si>
  <si>
    <t xml:space="preserve">Export logistics excl. surcharge (QC, haulage, port, CHA, ocean freight)</t>
  </si>
  <si>
    <t xml:space="preserve">Only difference between columns B and D</t>
  </si>
  <si>
    <t xml:space="preserve">Domestic reefer freight</t>
  </si>
  <si>
    <t xml:space="preserve">Insurance, bank/forex, claims, trade schemes, receivable cost</t>
  </si>
  <si>
    <t xml:space="preserve">By-product processing costs</t>
  </si>
  <si>
    <t xml:space="preserve">TOTAL OPERATING COST</t>
  </si>
  <si>
    <t xml:space="preserve">EBITDA margin</t>
  </si>
  <si>
    <t xml:space="preserve">Depreciation – packhouse + by-product units</t>
  </si>
  <si>
    <t xml:space="preserve">Interest (average over tenure)</t>
  </si>
  <si>
    <t xml:space="preserve">PROFIT BEFORE TAX</t>
  </si>
  <si>
    <t xml:space="preserve">Tax: not computed – income from own-grown bananas may qualify as agricultural income (exempt u/s 10(1)); packing/trading and by-product income is taxable. Structure-dependent – consult a CA.</t>
  </si>
  <si>
    <t xml:space="preserve">Cash &amp; returns</t>
  </si>
  <si>
    <t xml:space="preserve">Total capex – packhouse + by-product units</t>
  </si>
  <si>
    <t xml:space="preserve">Less: MIDH subsidy</t>
  </si>
  <si>
    <t xml:space="preserve">Annual debt service (EMI)</t>
  </si>
  <si>
    <t xml:space="preserve">Cash surplus after debt service (EBITDA − EMI)</t>
  </si>
  <si>
    <t xml:space="preserve">Pre-tax ROCE (PBT + interest) ÷ net capex</t>
  </si>
  <si>
    <t xml:space="preserve">Note: working capital for the first crop (~₹2 lakh/acre before the first harvest, ≈ ₹3 crore for 150 acres) must be funded upfront and is not in capex above.</t>
  </si>
  <si>
    <t xml:space="preserve">Vadodara location macro factors &amp; key risks</t>
  </si>
  <si>
    <t xml:space="preserve">Qualitative – supports the numbers in the model.</t>
  </si>
  <si>
    <t xml:space="preserve">Factor</t>
  </si>
  <si>
    <t xml:space="preserve">Assessment</t>
  </si>
  <si>
    <t xml:space="preserve">Implication for the model</t>
  </si>
  <si>
    <t xml:space="preserve">Source</t>
  </si>
  <si>
    <t xml:space="preserve">Production cluster</t>
  </si>
  <si>
    <t xml:space="preserve">Middle/South Gujarat (Anand, Vadodara, Bharuch, Narmada, Chhota Udepur) produce &gt;80% of Gujarat's bananas; Gujarat has the highest productivity in India (65.9 t/ha).</t>
  </si>
  <si>
    <t xml:space="preserve">Easy to top up volumes from neighbouring farmers if own harvest dips; high yield assumption justified.</t>
  </si>
  <si>
    <t xml:space="preserve">[S4]</t>
  </si>
  <si>
    <t xml:space="preserve">Port access</t>
  </si>
  <si>
    <t xml:space="preserve">Road to Nhava Sheva/JNPT ≈ 420 km; to Mundra ≈ 450–500 km; Hazira ≈ 150 km (check reefer services). Factory-stuffed reefers reach port within a day.</t>
  </si>
  <si>
    <t xml:space="preserve">Inland haulage ~₹60,000/container (₹3/kg).</t>
  </si>
  <si>
    <t xml:space="preserve">User draft</t>
  </si>
  <si>
    <t xml:space="preserve">Domestic markets</t>
  </si>
  <si>
    <t xml:space="preserve">Ahmedabad (~110 km), Mumbai/Pune (~420 km) within overnight reach; Delhi NCR ~2 days by reefer.</t>
  </si>
  <si>
    <t xml:space="preserve">Blended domestic freight ≈ ₹4.7/kg – the Delhi leg dominates.</t>
  </si>
  <si>
    <t xml:space="preserve">Power</t>
  </si>
  <si>
    <t xml:space="preserve">Gujarat has reliable grid supply; effective industrial tariff ₹7.5–8.5/kWh.</t>
  </si>
  <si>
    <t xml:space="preserve">Power ≈ ₹0.4/kg; DG only for backup. Rooftop solar could cut this further (not modelled).</t>
  </si>
  <si>
    <t xml:space="preserve">[S13]</t>
  </si>
  <si>
    <t xml:space="preserve">Labour</t>
  </si>
  <si>
    <t xml:space="preserve">Minimum wage ₹501.50–512.50/day (Apr–Sep 2026); seasonal migrant labour available.</t>
  </si>
  <si>
    <t xml:space="preserve">Labour ≈ ₹2.7/kg across harvest + packhouse.</t>
  </si>
  <si>
    <t xml:space="preserve">[S6]</t>
  </si>
  <si>
    <t xml:space="preserve">Climate</t>
  </si>
  <si>
    <t xml:space="preserve">Hot summers (40 °C+) make pre-cooling essential; monsoon waterlogging and cyclone/wind risk (lodging).</t>
  </si>
  <si>
    <t xml:space="preserve">Propping, bunch covers and pre-cooling are included in costs.</t>
  </si>
  <si>
    <t xml:space="preserve">Geopolitical – Gulf shipping (2026)</t>
  </si>
  <si>
    <t xml:space="preserve">Strait of Hormuz effectively closed to commercial traffic (as of 25-Sep-2026); carriers levy US$3,500–4,800 per reefer; transit stretched from 5–7 to 20–30+ days; hundreds of banana containers were stranded or returned in Mar-2026.</t>
  </si>
  <si>
    <t xml:space="preserve">War-risk surcharge switch + higher claims allowance; export is currently loss-making.</t>
  </si>
  <si>
    <t xml:space="preserve">[S18][S19][S16]</t>
  </si>
  <si>
    <t xml:space="preserve">Price volatility</t>
  </si>
  <si>
    <t xml:space="preserve">Farm-gate ₹11–21/kg across seasons (your draft); export prices fell 33–50% during the crisis.</t>
  </si>
  <si>
    <t xml:space="preserve">Lock domestic premium buyers into annual fixed-price contracts; staggered planting.</t>
  </si>
  <si>
    <t xml:space="preserve">User / [S16]</t>
  </si>
  <si>
    <t xml:space="preserve">Disease</t>
  </si>
  <si>
    <t xml:space="preserve">Fusarium wilt TR4 and Sigatoka are the main threats to Cavendish; TC plants and farm hygiene essential.</t>
  </si>
  <si>
    <t xml:space="preserve">Plant-protection budget included; no disease-loss allowance modelled.</t>
  </si>
  <si>
    <t xml:space="preserve">Subsidy &amp; finance</t>
  </si>
  <si>
    <t xml:space="preserve">MIDH/NHB 35% back-ended capital subsidy; AIF 3% interest subvention up to ₹2 crore; CGTMSE collateral-free cover.</t>
  </si>
  <si>
    <t xml:space="preserve">Included in the Capex tab.</t>
  </si>
  <si>
    <t xml:space="preserve">[S22][S23]</t>
  </si>
  <si>
    <t xml:space="preserve">Sources (accessed Sep-2026)</t>
  </si>
  <si>
    <t xml:space="preserve">Referenced as [S#] throughout the workbook.</t>
  </si>
  <si>
    <t xml:space="preserve">#</t>
  </si>
  <si>
    <t xml:space="preserve">URL</t>
  </si>
  <si>
    <t xml:space="preserve">S1</t>
  </si>
  <si>
    <t xml:space="preserve">USD/INR 95.96 on 25-Sep-2026 (Trading Economics / Fed H.10)</t>
  </si>
  <si>
    <t xml:space="preserve">https://tradingeconomics.com/india/currency</t>
  </si>
  <si>
    <t xml:space="preserve">S2</t>
  </si>
  <si>
    <t xml:space="preserve">Grand Nain (G9) cultivation guide – spacing, 11–12 month maturity in Gujarat</t>
  </si>
  <si>
    <t xml:space="preserve">https://www.agrifarming.in/grand-nain-g9-banana-farming-in-india-a-cultivation-guide-to-planting-to-harvesting</t>
  </si>
  <si>
    <t xml:space="preserve">S3</t>
  </si>
  <si>
    <t xml:space="preserve">Agro Potli – Banana farming in India 2026: cost ₹84k–1.25 lakh/acre, TC ₹10–15/plant, yields 20–40 / 10–20 t/acre</t>
  </si>
  <si>
    <t xml:space="preserve">https://agropotli.com/banana-farming-in-india-complete-guide-2026/</t>
  </si>
  <si>
    <t xml:space="preserve">S4</t>
  </si>
  <si>
    <t xml:space="preserve">DeshGujarat – Gujarat banana productivity 65.91 t/ha; Bharuch 72.55 t/ha; cluster districts</t>
  </si>
  <si>
    <t xml:space="preserve">https://deshgujarat.com/2024/11/11/gujarat-ranks-3rd-in-banana-production-nationwide-tops-in-productivity-per-hectare-globally/</t>
  </si>
  <si>
    <t xml:space="preserve">S5</t>
  </si>
  <si>
    <t xml:space="preserve">Swasya – Cost to lease farmland in India 2025 (₹30,000–80,000/acre/yr irrigated)</t>
  </si>
  <si>
    <t xml:space="preserve">https://www.swasya.com/blog/cost-to-lease-farmland-in-india</t>
  </si>
  <si>
    <t xml:space="preserve">S6</t>
  </si>
  <si>
    <t xml:space="preserve">Gujarat minimum wages 1-Apr-2026 to 30-Sep-2026 (₹512.50/₹501.50 per day unskilled)</t>
  </si>
  <si>
    <t xml:space="preserve">https://www.sgcms.com/regulatory-updates/minimum-rate-of-wages-gujarat-april-2026/</t>
  </si>
  <si>
    <t xml:space="preserve">S7</t>
  </si>
  <si>
    <t xml:space="preserve">Comparative economics of banana cultivation in Anand district (160.6 man-days/ha on drip farms; plantlets ~22.7% of cost)</t>
  </si>
  <si>
    <t xml:space="preserve">https://www.researchgate.net/publication/304528951_Comparative_economics_of_Banana_cultivation_in_Anand_district_of_Gujarat</t>
  </si>
  <si>
    <t xml:space="preserve">S8</t>
  </si>
  <si>
    <t xml:space="preserve">Netafim India – Cost and ROI of banana drip irrigation per acre (~₹25,000)</t>
  </si>
  <si>
    <t xml:space="preserve">https://www.netafimindia.com/blog/cost-and-roi-of-banana-drip-irrigation-per-acre/</t>
  </si>
  <si>
    <t xml:space="preserve">S9</t>
  </si>
  <si>
    <t xml:space="preserve">IndiaMART – Banana 13 kg export corrugated box ₹84/piece (Nashik)</t>
  </si>
  <si>
    <t xml:space="preserve">https://www.indiamart.com/proddetail/banana-13-kg-export-corrugated-packing-box-23108020130.html</t>
  </si>
  <si>
    <t xml:space="preserve">S10</t>
  </si>
  <si>
    <t xml:space="preserve">Exim Internationals – Cavendish banana export packaging specs 2026</t>
  </si>
  <si>
    <t xml:space="preserve">https://eximinternationals.com/cavendish-banana-export-packaging-specifications/</t>
  </si>
  <si>
    <t xml:space="preserve">S11</t>
  </si>
  <si>
    <t xml:space="preserve">Exim Internationals – Import bananas from India to UAE (40' HC ≈1,540 boxes, 13–14 °C)</t>
  </si>
  <si>
    <t xml:space="preserve">https://eximinternationals.com/import-bananas-from-india-to-uae</t>
  </si>
  <si>
    <t xml:space="preserve">S12</t>
  </si>
  <si>
    <t xml:space="preserve">Natural Fiber Company – Banana pseudostem volumes (60–220 t/ha; ~3 t waste per t fruit)</t>
  </si>
  <si>
    <t xml:space="preserve">https://www.naturalfibercompany.com/blogs/news/the-agro-waste-problem-banana-cultivation-pseudostem-volumes-and-the-climate-cost-of-current-disposal-practices</t>
  </si>
  <si>
    <t xml:space="preserve">S13</t>
  </si>
  <si>
    <t xml:space="preserve">Bridgeway Power – Gujarat GERC HT tariff 2026-27 (effective ₹7.50–8.50/unit); Mercom – FY2026/27 tariffs retained</t>
  </si>
  <si>
    <t xml:space="preserve">https://bridgewaypower.in/blog/gujarat-gerc-ht-tariff-2026-27</t>
  </si>
  <si>
    <t xml:space="preserve">S14</t>
  </si>
  <si>
    <t xml:space="preserve">Al Aweer (Dubai) wholesale market prices – Indian banana AED 16–30 per 13 kg</t>
  </si>
  <si>
    <t xml:space="preserve">https://al-aweer-wholesale-market-price.blogspot.com/</t>
  </si>
  <si>
    <t xml:space="preserve">S15</t>
  </si>
  <si>
    <t xml:space="preserve">Exim Internationals – Cavendish banana to UAE ($12–16/13 kg CIF list quotes; CEPA zero duty)</t>
  </si>
  <si>
    <t xml:space="preserve">https://eximinternationals.com/import-cavendish-banana-to-uae/</t>
  </si>
  <si>
    <t xml:space="preserve">S16</t>
  </si>
  <si>
    <t xml:space="preserve">FreshPlaza – Middle East war halts India's banana exports, prices plunge 33%; export setback costs growers (2026)</t>
  </si>
  <si>
    <t xml:space="preserve">https://www.freshplaza.com/north-america/article/9815802/middle-east-war-halts-india-s-banana-exports-prices-plunge-33/</t>
  </si>
  <si>
    <t xml:space="preserve">S17</t>
  </si>
  <si>
    <t xml:space="preserve">Globy – Mundra → Jebel Ali 40' container freight</t>
  </si>
  <si>
    <t xml:space="preserve">https://globy.com/quick-logistics/from-india/from-mundra/to-united-arab-emirates/to-jebel-ali</t>
  </si>
  <si>
    <t xml:space="preserve">S18</t>
  </si>
  <si>
    <t xml:space="preserve">TTL – War-risk surcharge on Gulf shipping, verified carrier rates (MSC $4,000/reefer, Hapag-Lloyd $3,500/reefer)</t>
  </si>
  <si>
    <t xml:space="preserve">https://www.ttl-co.com/en/blog/war-risk-surcharge-gulf-shipping-2026</t>
  </si>
  <si>
    <t xml:space="preserve">S19</t>
  </si>
  <si>
    <t xml:space="preserve">Straits.live – Strait of Hormuz status tracker (effectively closed, 25-Sep-2026; Maersk 9-Sep update, reefer surcharge up to $4,800)</t>
  </si>
  <si>
    <t xml:space="preserve">https://straits.live/</t>
  </si>
  <si>
    <t xml:space="preserve">S20</t>
  </si>
  <si>
    <t xml:space="preserve">Gujarat banana mandi prices Aug-2026 (₹1,200–4,500/quintal); Vadodara wholesale/retail</t>
  </si>
  <si>
    <t xml:space="preserve">https://mandipulse.com/mandi-bhav/gujarat/banana</t>
  </si>
  <si>
    <t xml:space="preserve">S21</t>
  </si>
  <si>
    <t xml:space="preserve">BigBasket – Robusta banana retail prices</t>
  </si>
  <si>
    <t xml:space="preserve">https://www.bigbasket.com/pd/10000025/fresho-banana-robusta-1-kg/</t>
  </si>
  <si>
    <t xml:space="preserve">S22</t>
  </si>
  <si>
    <t xml:space="preserve">MIDH Operational Guidelines 2025 (35% general / 50% NE &amp; hilly credit-linked back-ended subsidy; PHM cost norms)</t>
  </si>
  <si>
    <t xml:space="preserve">https://nhb.gov.in/writereaddata/082825102800MIDH%20Guideline%202025.pdf</t>
  </si>
  <si>
    <t xml:space="preserve">S23</t>
  </si>
  <si>
    <t xml:space="preserve">Agriculture Infrastructure Fund 2026 – 3% subvention up to ₹2 crore, 7 years; bank rate 10–12%</t>
  </si>
  <si>
    <t xml:space="preserve">https://schemesinindia.in/central/agri-infrastructure-fund</t>
  </si>
  <si>
    <t xml:space="preserve">S24</t>
  </si>
  <si>
    <t xml:space="preserve">IndiaMART – Integrated grading/packing pack house ₹90 lakh/unit (Surat)</t>
  </si>
  <si>
    <t xml:space="preserve">https://www.indiamart.com/proddetail/integrated-garding-packing-pack-house-25383226455.html</t>
  </si>
  <si>
    <t xml:space="preserve">S25</t>
  </si>
  <si>
    <t xml:space="preserve">Phoenixx Smartbuild – Cold storage cost per MT in India 2026 (₹14,000–18,000/MT multi-commodity)</t>
  </si>
  <si>
    <t xml:space="preserve">https://phoenixxsmartbuild.com/resources/blogs/cold-storage-cost-per-mt-india</t>
  </si>
  <si>
    <t xml:space="preserve">S26</t>
  </si>
  <si>
    <t xml:space="preserve">NSSPL – Banana ripening chamber project cost / rental (~₹0.3/kg/day)</t>
  </si>
  <si>
    <t xml:space="preserve">https://www.nsspl.in/banana-ripening-chamber-project-cost/</t>
  </si>
  <si>
    <t xml:space="preserve">S27</t>
  </si>
  <si>
    <t xml:space="preserve">IndiaMART – Green banana flour wholesale ₹140–350/kg; 4–5:1 conversion</t>
  </si>
  <si>
    <t xml:space="preserve">https://dir.indiamart.com/impcat/banana-flour.html</t>
  </si>
  <si>
    <t xml:space="preserve">S28</t>
  </si>
  <si>
    <t xml:space="preserve">Natural Fiber Company – Banana fibre extraction methods &amp; machines (20–30 kg/day; $3,000–8,000 per decorticator); cultivar fibre yield 0.55–0.89%</t>
  </si>
  <si>
    <t xml:space="preserve">https://www.naturalfibercompany.com/blogs/banana-fiber-sustainable-textiles/banana-fiber-extraction-process-methods-machines-commercial-scale</t>
  </si>
  <si>
    <t xml:space="preserve">S29</t>
  </si>
  <si>
    <t xml:space="preserve">IndiaMART – Banana fibre prices (₹135–242/kg by grade, Feb-2026)</t>
  </si>
  <si>
    <t xml:space="preserve">https://dir.indiamart.com/impcat/banana-fiber.html</t>
  </si>
  <si>
    <t xml:space="preserve">S30</t>
  </si>
  <si>
    <t xml:space="preserve">IndiaMART – Banana pseudostem-based organic liquid fertiliser (NAU patent) ₹850/L retail</t>
  </si>
  <si>
    <t xml:space="preserve">https://www.indiamart.com/proddetail/banana-pseudostem-based-organic-liquid-fertilizer-21091753830.html</t>
  </si>
  <si>
    <t xml:space="preserve">S31</t>
  </si>
  <si>
    <t xml:space="preserve">IndiaMART – Vermicompost prices, Ahmedabad/Rajkot 2026 (₹5–40/kg)</t>
  </si>
  <si>
    <t xml:space="preserve">https://dir.indiamart.com/ahmedabad/vermi-compost-fertilizer.html</t>
  </si>
  <si>
    <t xml:space="preserve">S32</t>
  </si>
  <si>
    <t xml:space="preserve">Desai Fruits &amp; Vegetables (Navsari) – NHB case study of a Gujarat premium banana integrator ('Happy Banana', 5,000+ export containers)</t>
  </si>
  <si>
    <t xml:space="preserve">https://nhb.gov.in/Training/Brochure/FRT_Banana_DesaiFruits.pdf</t>
  </si>
  <si>
    <t xml:space="preserve">Cost Component</t>
  </si>
  <si>
    <t xml:space="preserve">Cost per KG (INR)</t>
  </si>
  <si>
    <t xml:space="preserve">Cost per Container (INR)</t>
  </si>
  <si>
    <t xml:space="preserve">Notes / Details</t>
  </si>
  <si>
    <t xml:space="preserve">Your original draft – kept unchanged for reference. The model tabs replace these figures.</t>
  </si>
  <si>
    <t xml:space="preserve">Raw Banana Procurement</t>
  </si>
  <si>
    <t xml:space="preserve">₹15.00</t>
  </si>
  <si>
    <t xml:space="preserve">₹3,00,300</t>
  </si>
  <si>
    <t xml:space="preserve">Average annualized price (Fluctuates between ₹11 in peak season to ₹21 in lean season).</t>
  </si>
  <si>
    <t xml:space="preserve">Rejection Allowance (5%)</t>
  </si>
  <si>
    <t xml:space="preserve">₹0.75</t>
  </si>
  <si>
    <t xml:space="preserve">₹15,015</t>
  </si>
  <si>
    <t xml:space="preserve">Covers field-bruised, undersized, or over-mature fruits sorted out at your packhouse.</t>
  </si>
  <si>
    <t xml:space="preserve">Export-Grade Packaging</t>
  </si>
  <si>
    <t xml:space="preserve">₹6.50</t>
  </si>
  <si>
    <t xml:space="preserve">₹1,30,130</t>
  </si>
  <si>
    <t xml:space="preserve">Includes 5-ply Top/Bottom Telescopic CFB Box, 100-gauge Polybag/Foam pad, and branded stickers.</t>
  </si>
  <si>
    <t xml:space="preserve">Understated</t>
  </si>
  <si>
    <t xml:space="preserve">A real 13kg telescopic export carton (the exact box type named) sells for ~₹84/piece — that alone is ₹6.46/kg, leaving almost nothing in the ₹6.50 budget for the poly liner/Banavac bag, foam pad, and stickers the line item says it covers</t>
  </si>
  <si>
    <t xml:space="preserve">₹8–10/kg</t>
  </si>
  <si>
    <t xml:space="preserve">Packhouse Consumables</t>
  </si>
  <si>
    <t xml:space="preserve">₹0.40</t>
  </si>
  <si>
    <t xml:space="preserve">₹8,008</t>
  </si>
  <si>
    <t xml:space="preserve">Alum wash, food-grade post-harvest fungicide treatment, and fresh water.</t>
  </si>
  <si>
    <t xml:space="preserve">Boxes</t>
  </si>
  <si>
    <t xml:space="preserve">Plastic liners/foam sheet</t>
  </si>
  <si>
    <t xml:space="preserve">chemical treatment</t>
  </si>
  <si>
    <t xml:space="preserve">power</t>
  </si>
  <si>
    <t xml:space="preserve">administrative overheads</t>
  </si>
  <si>
    <t xml:space="preserve">Direct Labour</t>
  </si>
  <si>
    <t xml:space="preserve">₹1.50</t>
  </si>
  <si>
    <t xml:space="preserve">₹30,030</t>
  </si>
  <si>
    <t xml:space="preserve">De-handing, washing, grading, weighing, and packing staff.</t>
  </si>
  <si>
    <t xml:space="preserve">Power &amp; Utilities</t>
  </si>
  <si>
    <t xml:space="preserve">₹0.50</t>
  </si>
  <si>
    <t xml:space="preserve">₹10,010</t>
  </si>
  <si>
    <t xml:space="preserve">Running water pumps, conveyers, and blast pre-cooling units.</t>
  </si>
  <si>
    <t xml:space="preserve">Inland Logistics (Port)</t>
  </si>
  <si>
    <t xml:space="preserve">₹3.00</t>
  </si>
  <si>
    <t xml:space="preserve">₹60,060</t>
  </si>
  <si>
    <t xml:space="preserve">Transport from packhouse to JNPT (Mumbai) / Mundra port via a temperature-controlled reefer truck.</t>
  </si>
  <si>
    <t xml:space="preserve">Customs, CHA &amp; APEDA</t>
  </si>
  <si>
    <t xml:space="preserve">₹1.00</t>
  </si>
  <si>
    <t xml:space="preserve">₹20,020</t>
  </si>
  <si>
    <t xml:space="preserve">Custom House Agent charges, Phytosanitary certificate, and documentation.</t>
  </si>
  <si>
    <t xml:space="preserve">Ocean Freight (India to UAE)</t>
  </si>
  <si>
    <t xml:space="preserve">₹4.50</t>
  </si>
  <si>
    <t xml:space="preserve">₹90,090</t>
  </si>
  <si>
    <t xml:space="preserve">Average sea freight cost for a refrigerated container (~$1,000 – $1,200 USD).</t>
  </si>
  <si>
    <t xml:space="preserve">Reefer-specific rates (not standard dry container) run $1,500–3,000 once you add the power/genset surcharge reefers carry</t>
  </si>
  <si>
    <t xml:space="preserve">₹7–8/kg</t>
  </si>
  <si>
    <t xml:space="preserve">TOTAL landed cost (CIF Dubai)</t>
  </si>
  <si>
    <t xml:space="preserve">₹33.15</t>
  </si>
  <si>
    <t xml:space="preserve">₹6,63,663</t>
  </si>
  <si>
    <t xml:space="preserve">Your total break-even cost landed at Jebel Ali Port.</t>
  </si>
  <si>
    <t xml:space="preserve">Fixed Costs</t>
  </si>
  <si>
    <t xml:space="preserve">Employees</t>
  </si>
  <si>
    <t xml:space="preserve">Interest on loan</t>
  </si>
  <si>
    <t xml:space="preserve">Cold storage cost</t>
  </si>
  <si>
    <t xml:space="preserve">Farming Input Cost</t>
  </si>
  <si>
    <t xml:space="preserve">fertiliser</t>
  </si>
  <si>
    <t xml:space="preserve">seeds</t>
  </si>
  <si>
    <t xml:space="preserve">crop protection</t>
  </si>
  <si>
    <t xml:space="preserve">water</t>
  </si>
  <si>
    <t xml:space="preserve">labour</t>
  </si>
  <si>
    <t xml:space="preserve">rent</t>
  </si>
  <si>
    <t xml:space="preserve">Post harvest management cost</t>
  </si>
  <si>
    <t xml:space="preserve">13 tonnes requires 10 people 1000 rs per day</t>
  </si>
  <si>
    <t xml:space="preserve">3 harvesters 1000rs per day</t>
  </si>
  <si>
    <t xml:space="preserve">Pack house fixed cost</t>
  </si>
  <si>
    <t xml:space="preserve">electricity</t>
  </si>
  <si>
    <t xml:space="preserve">cold storage</t>
  </si>
  <si>
    <t xml:space="preserve">admin</t>
  </si>
  <si>
    <t xml:space="preserve">labour manager</t>
  </si>
  <si>
    <t xml:space="preserve">rental</t>
  </si>
  <si>
    <t xml:space="preserve">How many days is the banana harvest there</t>
  </si>
  <si>
    <t xml:space="preserve">Packhouse and cold storage ka variable and fixed cost</t>
  </si>
  <si>
    <t xml:space="preserve">banana packhouse location macro factors</t>
  </si>
  <si>
    <t xml:space="preserve">2 crop seasonality choice</t>
  </si>
  <si>
    <t xml:space="preserve">depreciation</t>
  </si>
  <si>
    <t xml:space="preserve">interest</t>
  </si>
  <si>
    <t xml:space="preserve">kg wise and box</t>
  </si>
  <si>
    <t xml:space="preserve">price fluctuation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</si>
</sst>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.0;\(#,##0.0\);\-"/>
    <numFmt numFmtId="167" formatCode="\₹#,##0.00;&quot;(₹&quot;#,##0.00\);\-"/>
    <numFmt numFmtId="168" formatCode="\$#,##0.00;&quot;($&quot;#,##0.00\);\-"/>
    <numFmt numFmtId="169" formatCode="\₹#,##0;&quot;(₹&quot;#,##0\);\-"/>
    <numFmt numFmtId="170" formatCode="#,##0.00;\(#,##0.00\);\-"/>
    <numFmt numFmtId="171" formatCode="0.0%;\(0.0%\);\-"/>
    <numFmt numFmtId="172" formatCode="\$#,##0;&quot;($&quot;#,##0\);\-"/>
    <numFmt numFmtId="173" formatCode="0.0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3D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000000"/>
      <name val="&quot;Google Sans&quot;"/>
      <family val="0"/>
      <charset val="1"/>
    </font>
    <font>
      <sz val="11"/>
      <color rgb="FF000000"/>
      <name val="&quot;Google Sans&quot;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AD3"/>
        <bgColor rgb="FFE2EFDA"/>
      </patternFill>
    </fill>
    <fill>
      <patternFill patternType="solid">
        <fgColor rgb="FFE2EFDA"/>
        <bgColor rgb="FFD9EAD3"/>
      </patternFill>
    </fill>
    <fill>
      <patternFill patternType="solid">
        <fgColor rgb="FF1F4E3D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F4CCCC"/>
        <bgColor rgb="FFDCDFE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C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7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C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tradingeconomics.com/india/currency" TargetMode="External"/><Relationship Id="rId2" Type="http://schemas.openxmlformats.org/officeDocument/2006/relationships/hyperlink" Target="https://www.agrifarming.in/grand-nain-g9-banana-farming-in-india-a-cultivation-guide-to-planting-to-harvesting" TargetMode="External"/><Relationship Id="rId3" Type="http://schemas.openxmlformats.org/officeDocument/2006/relationships/hyperlink" Target="https://agropotli.com/banana-farming-in-india-complete-guide-2026/" TargetMode="External"/><Relationship Id="rId4" Type="http://schemas.openxmlformats.org/officeDocument/2006/relationships/hyperlink" Target="https://deshgujarat.com/2024/11/11/gujarat-ranks-3rd-in-banana-production-nationwide-tops-in-productivity-per-hectare-globally/" TargetMode="External"/><Relationship Id="rId5" Type="http://schemas.openxmlformats.org/officeDocument/2006/relationships/hyperlink" Target="https://www.swasya.com/blog/cost-to-lease-farmland-in-india" TargetMode="External"/><Relationship Id="rId6" Type="http://schemas.openxmlformats.org/officeDocument/2006/relationships/hyperlink" Target="https://www.sgcms.com/regulatory-updates/minimum-rate-of-wages-gujarat-april-2026/" TargetMode="External"/><Relationship Id="rId7" Type="http://schemas.openxmlformats.org/officeDocument/2006/relationships/hyperlink" Target="https://www.researchgate.net/publication/304528951_Comparative_economics_of_Banana_cultivation_in_Anand_district_of_Gujarat" TargetMode="External"/><Relationship Id="rId8" Type="http://schemas.openxmlformats.org/officeDocument/2006/relationships/hyperlink" Target="https://www.netafimindia.com/blog/cost-and-roi-of-banana-drip-irrigation-per-acre/" TargetMode="External"/><Relationship Id="rId9" Type="http://schemas.openxmlformats.org/officeDocument/2006/relationships/hyperlink" Target="https://www.indiamart.com/proddetail/banana-13-kg-export-corrugated-packing-box-23108020130.html" TargetMode="External"/><Relationship Id="rId10" Type="http://schemas.openxmlformats.org/officeDocument/2006/relationships/hyperlink" Target="https://eximinternationals.com/cavendish-banana-export-packaging-specifications/" TargetMode="External"/><Relationship Id="rId11" Type="http://schemas.openxmlformats.org/officeDocument/2006/relationships/hyperlink" Target="https://eximinternationals.com/import-bananas-from-india-to-uae" TargetMode="External"/><Relationship Id="rId12" Type="http://schemas.openxmlformats.org/officeDocument/2006/relationships/hyperlink" Target="https://www.naturalfibercompany.com/blogs/news/the-agro-waste-problem-banana-cultivation-pseudostem-volumes-and-the-climate-cost-of-current-disposal-practices" TargetMode="External"/><Relationship Id="rId13" Type="http://schemas.openxmlformats.org/officeDocument/2006/relationships/hyperlink" Target="https://bridgewaypower.in/blog/gujarat-gerc-ht-tariff-2026-27" TargetMode="External"/><Relationship Id="rId14" Type="http://schemas.openxmlformats.org/officeDocument/2006/relationships/hyperlink" Target="https://al-aweer-wholesale-market-price.blogspot.com/" TargetMode="External"/><Relationship Id="rId15" Type="http://schemas.openxmlformats.org/officeDocument/2006/relationships/hyperlink" Target="https://eximinternationals.com/import-cavendish-banana-to-uae/" TargetMode="External"/><Relationship Id="rId16" Type="http://schemas.openxmlformats.org/officeDocument/2006/relationships/hyperlink" Target="https://www.freshplaza.com/north-america/article/9815802/middle-east-war-halts-india-s-banana-exports-prices-plunge-33/" TargetMode="External"/><Relationship Id="rId17" Type="http://schemas.openxmlformats.org/officeDocument/2006/relationships/hyperlink" Target="https://globy.com/quick-logistics/from-india/from-mundra/to-united-arab-emirates/to-jebel-ali" TargetMode="External"/><Relationship Id="rId18" Type="http://schemas.openxmlformats.org/officeDocument/2006/relationships/hyperlink" Target="https://www.ttl-co.com/en/blog/war-risk-surcharge-gulf-shipping-2026" TargetMode="External"/><Relationship Id="rId19" Type="http://schemas.openxmlformats.org/officeDocument/2006/relationships/hyperlink" Target="https://straits.live/" TargetMode="External"/><Relationship Id="rId20" Type="http://schemas.openxmlformats.org/officeDocument/2006/relationships/hyperlink" Target="https://mandipulse.com/mandi-bhav/gujarat/banana" TargetMode="External"/><Relationship Id="rId21" Type="http://schemas.openxmlformats.org/officeDocument/2006/relationships/hyperlink" Target="https://www.bigbasket.com/pd/10000025/fresho-banana-robusta-1-kg/" TargetMode="External"/><Relationship Id="rId22" Type="http://schemas.openxmlformats.org/officeDocument/2006/relationships/hyperlink" Target="https://nhb.gov.in/writereaddata/082825102800MIDH%20Guideline%202025.pdf" TargetMode="External"/><Relationship Id="rId23" Type="http://schemas.openxmlformats.org/officeDocument/2006/relationships/hyperlink" Target="https://schemesinindia.in/central/agri-infrastructure-fund" TargetMode="External"/><Relationship Id="rId24" Type="http://schemas.openxmlformats.org/officeDocument/2006/relationships/hyperlink" Target="https://www.indiamart.com/proddetail/integrated-garding-packing-pack-house-25383226455.html" TargetMode="External"/><Relationship Id="rId25" Type="http://schemas.openxmlformats.org/officeDocument/2006/relationships/hyperlink" Target="https://phoenixxsmartbuild.com/resources/blogs/cold-storage-cost-per-mt-india" TargetMode="External"/><Relationship Id="rId26" Type="http://schemas.openxmlformats.org/officeDocument/2006/relationships/hyperlink" Target="https://www.nsspl.in/banana-ripening-chamber-project-cost/" TargetMode="External"/><Relationship Id="rId27" Type="http://schemas.openxmlformats.org/officeDocument/2006/relationships/hyperlink" Target="https://dir.indiamart.com/impcat/banana-flour.html" TargetMode="External"/><Relationship Id="rId28" Type="http://schemas.openxmlformats.org/officeDocument/2006/relationships/hyperlink" Target="https://www.naturalfibercompany.com/blogs/banana-fiber-sustainable-textiles/banana-fiber-extraction-process-methods-machines-commercial-scale" TargetMode="External"/><Relationship Id="rId29" Type="http://schemas.openxmlformats.org/officeDocument/2006/relationships/hyperlink" Target="https://dir.indiamart.com/impcat/banana-fiber.html" TargetMode="External"/><Relationship Id="rId30" Type="http://schemas.openxmlformats.org/officeDocument/2006/relationships/hyperlink" Target="https://www.indiamart.com/proddetail/banana-pseudostem-based-organic-liquid-fertilizer-21091753830.html" TargetMode="External"/><Relationship Id="rId31" Type="http://schemas.openxmlformats.org/officeDocument/2006/relationships/hyperlink" Target="https://dir.indiamart.com/ahmedabad/vermi-compost-fertilizer.html" TargetMode="External"/><Relationship Id="rId32" Type="http://schemas.openxmlformats.org/officeDocument/2006/relationships/hyperlink" Target="https://nhb.gov.in/Training/Brochure/FRT_Banana_DesaiFruits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</row>
    <row r="5" customFormat="false" ht="15" hidden="false" customHeight="false" outlineLevel="0" collapsed="false">
      <c r="A5" s="5" t="s">
        <v>3</v>
      </c>
      <c r="B5" s="6" t="n">
        <f aca="false">'Volumes &amp; Seasonality'!$B$7</f>
        <v>3927.27272727273</v>
      </c>
      <c r="E5" s="5"/>
    </row>
    <row r="6" customFormat="false" ht="15" hidden="false" customHeight="false" outlineLevel="0" collapsed="false">
      <c r="A6" s="5" t="s">
        <v>4</v>
      </c>
      <c r="B6" s="6" t="n">
        <f aca="false">'Volumes &amp; Seasonality'!$B$13</f>
        <v>3203.00509090909</v>
      </c>
      <c r="E6" s="5"/>
    </row>
    <row r="7" customFormat="false" ht="15" hidden="false" customHeight="false" outlineLevel="0" collapsed="false">
      <c r="A7" s="5" t="s">
        <v>5</v>
      </c>
      <c r="B7" s="6" t="n">
        <f aca="false">'Volumes &amp; Seasonality'!$B$14</f>
        <v>800.751272727273</v>
      </c>
      <c r="C7" s="7" t="n">
        <f aca="false">'Volumes &amp; Seasonality'!$B$18</f>
        <v>39.9975660702933</v>
      </c>
      <c r="D7" s="5" t="s">
        <v>6</v>
      </c>
      <c r="E7" s="5"/>
    </row>
    <row r="8" customFormat="false" ht="15" hidden="false" customHeight="false" outlineLevel="0" collapsed="false">
      <c r="A8" s="5" t="s">
        <v>7</v>
      </c>
      <c r="B8" s="6" t="n">
        <f aca="false">'Volumes &amp; Seasonality'!$B$15</f>
        <v>2402.25381818182</v>
      </c>
      <c r="C8" s="6" t="n">
        <f aca="false">'Volumes &amp; Seasonality'!$B$20</f>
        <v>266.917090909091</v>
      </c>
      <c r="D8" s="5" t="s">
        <v>8</v>
      </c>
      <c r="E8" s="5"/>
    </row>
    <row r="9" customFormat="false" ht="15" hidden="false" customHeight="false" outlineLevel="0" collapsed="false">
      <c r="A9" s="5" t="s">
        <v>9</v>
      </c>
      <c r="B9" s="7" t="n">
        <f aca="false">'Volumes &amp; Seasonality'!$B$25</f>
        <v>13.0909090909091</v>
      </c>
      <c r="C9" s="7" t="n">
        <f aca="false">'Volumes &amp; Seasonality'!$B$26</f>
        <v>19.6363636363636</v>
      </c>
      <c r="E9" s="5"/>
    </row>
    <row r="11" customFormat="false" ht="15" hidden="false" customHeight="false" outlineLevel="0" collapsed="false">
      <c r="A11" s="3" t="s">
        <v>10</v>
      </c>
      <c r="B11" s="4"/>
      <c r="C11" s="4"/>
      <c r="D11" s="4"/>
      <c r="E11" s="4"/>
    </row>
    <row r="12" customFormat="false" ht="15" hidden="false" customHeight="false" outlineLevel="0" collapsed="false">
      <c r="A12" s="8"/>
      <c r="B12" s="8" t="s">
        <v>11</v>
      </c>
      <c r="C12" s="8" t="s">
        <v>12</v>
      </c>
      <c r="D12" s="8" t="s">
        <v>13</v>
      </c>
    </row>
    <row r="13" customFormat="false" ht="15" hidden="false" customHeight="false" outlineLevel="0" collapsed="false">
      <c r="A13" s="9" t="s">
        <v>14</v>
      </c>
      <c r="B13" s="10" t="n">
        <f aca="false">'Unit Economics'!$B$6</f>
        <v>51.6923076923077</v>
      </c>
      <c r="C13" s="10" t="n">
        <f aca="false">'Unit Economics'!$C$6</f>
        <v>28</v>
      </c>
      <c r="D13" s="10" t="n">
        <f aca="false">Inputs!$B$30*B13+(1-Inputs!$B$30)*C13</f>
        <v>33.9230769230769</v>
      </c>
    </row>
    <row r="14" customFormat="false" ht="15" hidden="false" customHeight="false" outlineLevel="0" collapsed="false">
      <c r="A14" s="5" t="s">
        <v>15</v>
      </c>
      <c r="B14" s="11" t="n">
        <f aca="false">'Unit Economics'!$B$8</f>
        <v>9.42371149297978</v>
      </c>
      <c r="C14" s="11" t="n">
        <f aca="false">'Unit Economics'!$C$8</f>
        <v>9.42371149297978</v>
      </c>
      <c r="D14" s="11" t="n">
        <f aca="false">Inputs!$B$30*B14+(1-Inputs!$B$30)*C14</f>
        <v>9.42371149297978</v>
      </c>
    </row>
    <row r="15" customFormat="false" ht="15" hidden="false" customHeight="false" outlineLevel="0" collapsed="false">
      <c r="A15" s="5" t="s">
        <v>16</v>
      </c>
      <c r="B15" s="11" t="n">
        <f aca="false">'Unit Economics'!$B$13</f>
        <v>7.53846153846154</v>
      </c>
      <c r="C15" s="11" t="n">
        <f aca="false">'Unit Economics'!$C$13</f>
        <v>5.15384615384615</v>
      </c>
      <c r="D15" s="11" t="n">
        <f aca="false">Inputs!$B$30*B15+(1-Inputs!$B$30)*C15</f>
        <v>5.75</v>
      </c>
    </row>
    <row r="16" customFormat="false" ht="15" hidden="false" customHeight="false" outlineLevel="0" collapsed="false">
      <c r="A16" s="5" t="s">
        <v>17</v>
      </c>
      <c r="B16" s="11" t="n">
        <f aca="false">'Unit Economics'!$B$15</f>
        <v>2.997002997003</v>
      </c>
      <c r="C16" s="11" t="n">
        <f aca="false">'Unit Economics'!$C$15</f>
        <v>4.72222222222222</v>
      </c>
      <c r="D16" s="11" t="n">
        <f aca="false">Inputs!$B$30*B16+(1-Inputs!$B$30)*C16</f>
        <v>4.29091741591742</v>
      </c>
    </row>
    <row r="17" customFormat="false" ht="15" hidden="false" customHeight="false" outlineLevel="0" collapsed="false">
      <c r="A17" s="5" t="s">
        <v>18</v>
      </c>
      <c r="B17" s="11" t="n">
        <f aca="false">'Unit Economics'!$B$17</f>
        <v>9.59040959040959</v>
      </c>
      <c r="C17" s="11" t="n">
        <f aca="false">'Unit Economics'!$C$17</f>
        <v>0</v>
      </c>
      <c r="D17" s="11" t="n">
        <f aca="false">Inputs!$B$30*B17+(1-Inputs!$B$30)*C17</f>
        <v>2.3976023976024</v>
      </c>
    </row>
    <row r="18" customFormat="false" ht="15" hidden="false" customHeight="false" outlineLevel="0" collapsed="false">
      <c r="A18" s="5" t="s">
        <v>19</v>
      </c>
      <c r="B18" s="11" t="n">
        <f aca="false">'Unit Economics'!$B$18</f>
        <v>19.1808191808192</v>
      </c>
      <c r="C18" s="11" t="n">
        <f aca="false">'Unit Economics'!$C$18</f>
        <v>0</v>
      </c>
      <c r="D18" s="11" t="n">
        <f aca="false">Inputs!$B$30*B18+(1-Inputs!$B$30)*C18</f>
        <v>4.7952047952048</v>
      </c>
    </row>
    <row r="19" customFormat="false" ht="15" hidden="false" customHeight="false" outlineLevel="0" collapsed="false">
      <c r="A19" s="5" t="s">
        <v>20</v>
      </c>
      <c r="B19" s="11" t="n">
        <f aca="false">'Unit Economics'!$B$23</f>
        <v>57.790496111955</v>
      </c>
      <c r="C19" s="11" t="n">
        <f aca="false">'Unit Economics'!$C$23</f>
        <v>24.6715956760134</v>
      </c>
      <c r="D19" s="11" t="n">
        <f aca="false">Inputs!$B$30*B19+(1-Inputs!$B$30)*C19</f>
        <v>32.9513207849988</v>
      </c>
    </row>
    <row r="20" customFormat="false" ht="15" hidden="false" customHeight="false" outlineLevel="0" collapsed="false">
      <c r="A20" s="5" t="s">
        <v>21</v>
      </c>
      <c r="B20" s="11" t="n">
        <f aca="false">'Unit Economics'!$B$26+'Unit Economics'!$B$27+'Unit Economics'!$B$28</f>
        <v>2.84641537746838</v>
      </c>
      <c r="C20" s="11" t="n">
        <f aca="false">'Unit Economics'!$C$26+'Unit Economics'!$C$27+'Unit Economics'!$C$28</f>
        <v>2.84641537746838</v>
      </c>
      <c r="D20" s="11" t="n">
        <f aca="false">Inputs!$B$30*B20+(1-Inputs!$B$30)*C20</f>
        <v>2.84641537746838</v>
      </c>
    </row>
    <row r="21" customFormat="false" ht="15" hidden="false" customHeight="false" outlineLevel="0" collapsed="false">
      <c r="A21" s="9" t="s">
        <v>22</v>
      </c>
      <c r="B21" s="10" t="n">
        <f aca="false">'Unit Economics'!$B$29</f>
        <v>60.6369114894234</v>
      </c>
      <c r="C21" s="10" t="n">
        <f aca="false">'Unit Economics'!$C$29</f>
        <v>27.5180110534818</v>
      </c>
      <c r="D21" s="10" t="n">
        <f aca="false">Inputs!$B$30*B21+(1-Inputs!$B$30)*C21</f>
        <v>35.7977361624672</v>
      </c>
    </row>
    <row r="22" customFormat="false" ht="15" hidden="false" customHeight="false" outlineLevel="0" collapsed="false">
      <c r="A22" s="9" t="s">
        <v>23</v>
      </c>
      <c r="B22" s="10" t="n">
        <f aca="false">'Unit Economics'!$B$30</f>
        <v>-8.94460379711565</v>
      </c>
      <c r="C22" s="10" t="n">
        <f aca="false">'Unit Economics'!$C$30</f>
        <v>0.481988946518186</v>
      </c>
      <c r="D22" s="12" t="n">
        <f aca="false">Inputs!$B$30*B22+(1-Inputs!$B$30)*C22</f>
        <v>-1.87465923939027</v>
      </c>
    </row>
    <row r="23" customFormat="false" ht="15" hidden="false" customHeight="false" outlineLevel="0" collapsed="false">
      <c r="A23" s="9" t="s">
        <v>24</v>
      </c>
      <c r="B23" s="13" t="n">
        <f aca="false">'Unit Economics'!$D$32</f>
        <v>8.21124843085941</v>
      </c>
      <c r="E23" s="5" t="s">
        <v>25</v>
      </c>
    </row>
    <row r="25" customFormat="false" ht="15" hidden="false" customHeight="false" outlineLevel="0" collapsed="false">
      <c r="A25" s="3" t="s">
        <v>26</v>
      </c>
      <c r="B25" s="4"/>
      <c r="C25" s="4"/>
      <c r="D25" s="4"/>
      <c r="E25" s="4"/>
    </row>
    <row r="26" customFormat="false" ht="15" hidden="false" customHeight="false" outlineLevel="0" collapsed="false">
      <c r="A26" s="8"/>
      <c r="B26" s="8" t="s">
        <v>27</v>
      </c>
      <c r="C26" s="8" t="s">
        <v>28</v>
      </c>
      <c r="D26" s="8" t="s">
        <v>29</v>
      </c>
    </row>
    <row r="27" customFormat="false" ht="15" hidden="false" customHeight="false" outlineLevel="0" collapsed="false">
      <c r="A27" s="5" t="s">
        <v>30</v>
      </c>
      <c r="B27" s="14" t="n">
        <f aca="false">'Annual P&amp;L'!$B$9</f>
        <v>123917955.356643</v>
      </c>
      <c r="C27" s="15" t="n">
        <f aca="false">B27/100000</f>
        <v>1239.17955356643</v>
      </c>
      <c r="D27" s="14" t="n">
        <f aca="false">'Annual P&amp;L'!$D$9</f>
        <v>123917955.356643</v>
      </c>
    </row>
    <row r="28" customFormat="false" ht="15" hidden="false" customHeight="false" outlineLevel="0" collapsed="false">
      <c r="A28" s="5" t="s">
        <v>31</v>
      </c>
      <c r="B28" s="14" t="n">
        <f aca="false">'Annual P&amp;L'!$B$8</f>
        <v>15262167.2727273</v>
      </c>
      <c r="C28" s="15" t="n">
        <f aca="false">B28/100000</f>
        <v>152.621672727273</v>
      </c>
      <c r="D28" s="14" t="n">
        <f aca="false">'Annual P&amp;L'!$D$8</f>
        <v>15262167.2727273</v>
      </c>
    </row>
    <row r="29" customFormat="false" ht="15" hidden="false" customHeight="false" outlineLevel="0" collapsed="false">
      <c r="A29" s="5" t="s">
        <v>32</v>
      </c>
      <c r="B29" s="14" t="n">
        <f aca="false">'Annual P&amp;L'!$B$20</f>
        <v>119485808.499257</v>
      </c>
      <c r="C29" s="15" t="n">
        <f aca="false">B29/100000</f>
        <v>1194.85808499257</v>
      </c>
      <c r="D29" s="14" t="n">
        <f aca="false">'Annual P&amp;L'!$D$20</f>
        <v>104126743.128264</v>
      </c>
    </row>
    <row r="30" customFormat="false" ht="15" hidden="false" customHeight="false" outlineLevel="0" collapsed="false">
      <c r="A30" s="9" t="s">
        <v>33</v>
      </c>
      <c r="B30" s="16" t="n">
        <f aca="false">'Annual P&amp;L'!$B$21</f>
        <v>4432146.85738632</v>
      </c>
      <c r="C30" s="15" t="n">
        <f aca="false">B30/100000</f>
        <v>44.3214685738632</v>
      </c>
      <c r="D30" s="16" t="n">
        <f aca="false">'Annual P&amp;L'!$D$21</f>
        <v>19791212.228379</v>
      </c>
    </row>
    <row r="31" customFormat="false" ht="15" hidden="false" customHeight="false" outlineLevel="0" collapsed="false">
      <c r="A31" s="9" t="s">
        <v>34</v>
      </c>
      <c r="B31" s="16" t="n">
        <f aca="false">'Annual P&amp;L'!$B$25</f>
        <v>636328.912513189</v>
      </c>
      <c r="C31" s="15" t="n">
        <f aca="false">B31/100000</f>
        <v>6.36328912513189</v>
      </c>
      <c r="D31" s="16" t="n">
        <f aca="false">'Annual P&amp;L'!$D$25</f>
        <v>15995394.2835058</v>
      </c>
    </row>
    <row r="32" customFormat="false" ht="15" hidden="false" customHeight="false" outlineLevel="0" collapsed="false">
      <c r="A32" s="5" t="s">
        <v>35</v>
      </c>
      <c r="B32" s="14" t="n">
        <f aca="false">'Annual P&amp;L'!$B$31</f>
        <v>26250000</v>
      </c>
      <c r="C32" s="15" t="n">
        <f aca="false">B32/100000</f>
        <v>262.5</v>
      </c>
      <c r="D32" s="14" t="n">
        <f aca="false">'Annual P&amp;L'!$D$31</f>
        <v>26250000</v>
      </c>
    </row>
    <row r="33" customFormat="false" ht="15" hidden="false" customHeight="false" outlineLevel="0" collapsed="false">
      <c r="A33" s="5" t="s">
        <v>36</v>
      </c>
      <c r="B33" s="14" t="n">
        <f aca="false">'Annual P&amp;L'!$B$33</f>
        <v>1785638.43632271</v>
      </c>
      <c r="C33" s="15" t="n">
        <f aca="false">B33/100000</f>
        <v>17.8563843632271</v>
      </c>
      <c r="D33" s="14" t="n">
        <f aca="false">'Annual P&amp;L'!$D$33</f>
        <v>17144703.8073153</v>
      </c>
    </row>
    <row r="34" customFormat="false" ht="15" hidden="false" customHeight="false" outlineLevel="0" collapsed="false">
      <c r="A34" s="9" t="s">
        <v>37</v>
      </c>
      <c r="B34" s="7" t="n">
        <f aca="false">'Annual P&amp;L'!$B$34</f>
        <v>5.92263768432075</v>
      </c>
      <c r="D34" s="7" t="n">
        <f aca="false">'Annual P&amp;L'!$D$34</f>
        <v>1.32634624383239</v>
      </c>
    </row>
    <row r="36" customFormat="false" ht="15" hidden="false" customHeight="false" outlineLevel="0" collapsed="false">
      <c r="A36" s="3" t="s">
        <v>38</v>
      </c>
      <c r="B36" s="4"/>
      <c r="C36" s="4"/>
      <c r="D36" s="4"/>
      <c r="E36" s="4"/>
    </row>
    <row r="37" customFormat="false" ht="15" hidden="false" customHeight="false" outlineLevel="0" collapsed="false">
      <c r="A37" s="8" t="s">
        <v>39</v>
      </c>
      <c r="B37" s="8" t="s">
        <v>40</v>
      </c>
      <c r="C37" s="8" t="s">
        <v>41</v>
      </c>
      <c r="D37" s="8" t="s">
        <v>42</v>
      </c>
    </row>
    <row r="38" customFormat="false" ht="15" hidden="false" customHeight="false" outlineLevel="0" collapsed="false">
      <c r="A38" s="5" t="s">
        <v>43</v>
      </c>
      <c r="B38" s="6" t="n">
        <f aca="false">'Waste Valorisation'!$B$9</f>
        <v>57809.4545454546</v>
      </c>
      <c r="C38" s="14" t="n">
        <f aca="false">'Waste Valorisation'!$B$19</f>
        <v>10405701.8181818</v>
      </c>
      <c r="D38" s="11" t="n">
        <f aca="false">'Waste Valorisation'!$B$24</f>
        <v>98.2965227455716</v>
      </c>
      <c r="E38" s="5" t="s">
        <v>44</v>
      </c>
    </row>
    <row r="39" customFormat="false" ht="15" hidden="false" customHeight="false" outlineLevel="0" collapsed="false">
      <c r="A39" s="5" t="s">
        <v>45</v>
      </c>
      <c r="B39" s="6" t="n">
        <f aca="false">'Waste Valorisation'!$B$31</f>
        <v>21384</v>
      </c>
      <c r="C39" s="14" t="n">
        <f aca="false">'Waste Valorisation'!$B$41</f>
        <v>3207600</v>
      </c>
      <c r="D39" s="11" t="n">
        <f aca="false">'Waste Valorisation'!$B$46</f>
        <v>2.76655443322108</v>
      </c>
      <c r="E39" s="5" t="s">
        <v>46</v>
      </c>
    </row>
    <row r="40" customFormat="false" ht="15" hidden="false" customHeight="false" outlineLevel="0" collapsed="false">
      <c r="A40" s="5" t="s">
        <v>47</v>
      </c>
      <c r="B40" s="6" t="n">
        <f aca="false">'Waste Valorisation'!$B$56</f>
        <v>274810.909090909</v>
      </c>
      <c r="C40" s="14" t="n">
        <f aca="false">'Waste Valorisation'!$B$61</f>
        <v>1648865.45454545</v>
      </c>
      <c r="D40" s="11" t="n">
        <f aca="false">'Waste Valorisation'!$B$66</f>
        <v>3.27222685350588</v>
      </c>
      <c r="E40" s="5" t="s">
        <v>48</v>
      </c>
    </row>
    <row r="41" customFormat="false" ht="15" hidden="false" customHeight="false" outlineLevel="0" collapsed="false">
      <c r="A41" s="5" t="s">
        <v>49</v>
      </c>
      <c r="B41" s="5" t="s">
        <v>50</v>
      </c>
      <c r="E41" s="5" t="s">
        <v>51</v>
      </c>
    </row>
    <row r="43" customFormat="false" ht="15" hidden="false" customHeight="false" outlineLevel="0" collapsed="false">
      <c r="A43" s="3" t="s">
        <v>52</v>
      </c>
      <c r="B43" s="4"/>
      <c r="C43" s="4"/>
      <c r="D43" s="4"/>
      <c r="E43" s="4"/>
    </row>
    <row r="44" customFormat="false" ht="42" hidden="false" customHeight="true" outlineLevel="0" collapsed="false">
      <c r="A44" s="5" t="str">
        <f aca="false">"1. Growing your own fruit costs about ₹"&amp;TEXT('Farm Economics'!$B$38,"0.0")&amp;"/kg of bunch (₹"&amp;TEXT('Farm Economics'!$B$39,"0.0")&amp;"/kg of sellable fruit) against the ₹15/kg average farm-gate price in your draft. That saves roughly ₹"&amp;TEXT('Farm Economics'!$B$44/100000,"0")&amp;" lakh a year."</f>
        <v>1. Growing your own fruit costs about ₹7.7/kg of bunch (₹9.4/kg of sellable fruit) against the ₹15/kg average farm-gate price in your draft. That saves roughly ₹287 lakh a year.</v>
      </c>
      <c r="B44" s="5"/>
      <c r="C44" s="5"/>
      <c r="D44" s="5"/>
      <c r="E44" s="5"/>
    </row>
    <row r="45" customFormat="false" ht="42" hidden="false" customHeight="true" outlineLevel="0" collapsed="false">
      <c r="A45" s="5" t="str">
        <f aca="false">"2. Domestic premium at ₹"&amp;TEXT('Unit Economics'!$C$6,"0")&amp;"/kg delivered: contribution ₹"&amp;TEXT('Unit Economics'!$C$24,"0.0")&amp;"/kg, net margin only ₹"&amp;TEXT('Unit Economics'!$C$30,"0.0")&amp;"/kg after fixed costs. The levers are freight (₹"&amp;TEXT('Unit Economics'!$C$15,"0.0")&amp;"/kg, mostly the Delhi leg) and packaging (₹"&amp;TEXT('Unit Economics'!$C$13,"0.0")&amp;"/kg). Each extra ₹1/kg of price adds about ₹"&amp;TEXT('Volumes &amp; Seasonality'!$B$15*1000/100000,"0")&amp;" lakh a year."</f>
        <v>2. Domestic premium at ₹28/kg delivered: contribution ₹3.3/kg, net margin only ₹0.5/kg after fixed costs. The levers are freight (₹4.7/kg, mostly the Delhi leg) and packaging (₹5.2/kg). Each extra ₹1/kg of price adds about ₹24 lakh a year.</v>
      </c>
      <c r="B45" s="5"/>
      <c r="C45" s="5"/>
      <c r="D45" s="5"/>
      <c r="E45" s="5"/>
    </row>
    <row r="46" customFormat="false" ht="42" hidden="false" customHeight="true" outlineLevel="0" collapsed="false">
      <c r="A46" s="5" t="str">
        <f aca="false">"3. Export under Sep-2026 conditions: the Gulf war-risk surcharge adds ₹"&amp;TEXT('Unit Economics'!$B$18,"0.0")&amp;"/kg, so export nets ₹"&amp;TEXT('Unit Economics'!$B$30,"0.0")&amp;"/kg (breakeven CIF US$"&amp;TEXT('Unit Economics'!$D$32,"0.00")&amp;"/carton vs US$"&amp;TEXT(Inputs!$B$56,"0.00")&amp;" assumed). Without the surcharge, export would net about ₹"&amp;TEXT('Unit Economics'!$B$30+'Unit Economics'!$B$18,"0.0")&amp;"/kg."</f>
        <v>3. Export under Sep-2026 conditions: the Gulf war-risk surcharge adds ₹19.2/kg, so export nets ₹-8.9/kg (breakeven CIF US$8.21/carton vs US$7.00 assumed). Without the surcharge, export would net about ₹10.2/kg.</v>
      </c>
      <c r="B46" s="5"/>
      <c r="C46" s="5"/>
      <c r="D46" s="5"/>
      <c r="E46" s="5"/>
    </row>
    <row r="47" customFormat="false" ht="42" hidden="false" customHeight="true" outlineLevel="0" collapsed="false">
      <c r="A47" s="5" t="str">
        <f aca="false">"4. Your draft understated packaging (₹6.50 vs ₹"&amp;TEXT('Unit Economics'!$B$13,"0.00")&amp;"/kg) and ocean freight (₹4.50 vs ₹"&amp;TEXT('Unit Economics'!$B$17,"0.00")&amp;"/kg base, plus the surcharge). It also left out fixed overheads, depreciation and interest (₹"&amp;TEXT('Unit Economics'!$B$26+'Unit Economics'!$B$27+'Unit Economics'!$B$28,"0.00")&amp;"/kg)."</f>
        <v>4. Your draft understated packaging (₹6.50 vs ₹7.54/kg) and ocean freight (₹4.50 vs ₹9.59/kg base, plus the surcharge). It also left out fixed overheads, depreciation and interest (₹2.85/kg).</v>
      </c>
      <c r="B47" s="5"/>
      <c r="C47" s="5"/>
      <c r="D47" s="5"/>
      <c r="E47" s="5"/>
    </row>
    <row r="48" customFormat="false" ht="42" hidden="false" customHeight="true" outlineLevel="0" collapsed="false">
      <c r="A48" s="5" t="str">
        <f aca="false">"5. By-products add ₹"&amp;TEXT('Waste Valorisation'!$B$74/100000,"0")&amp;" lakh of revenue and ₹"&amp;TEXT('Waste Valorisation'!$B$76/100000,"0")&amp;" lakh of EBITDA a year (₹"&amp;TEXT('Waste Valorisation'!$B$76/('Volumes &amp; Seasonality'!$B$13*1000),"0.0")&amp;"/kg of fruit). Green banana flour from culls is by far the best stream. Fibre roughly breaks even after depreciation. Vermicompost is small but cuts the farm manure bill."</f>
        <v>5. By-products add ₹153 lakh of revenue and ₹77 lakh of EBITDA a year (₹2.4/kg of fruit). Green banana flour from culls is by far the best stream. Fibre roughly breaks even after depreciation. Vermicompost is small but cuts the farm manure bill.</v>
      </c>
      <c r="B48" s="5"/>
      <c r="C48" s="5"/>
      <c r="D48" s="5"/>
      <c r="E48" s="5"/>
    </row>
    <row r="49" customFormat="false" ht="42" hidden="false" customHeight="true" outlineLevel="0" collapsed="false">
      <c r="A49" s="5" t="str">
        <f aca="false">"6. Whole business EBITDA: ₹"&amp;TEXT('Annual P&amp;L'!$B$21/100000,"0")&amp;" lakh under current conditions vs ₹"&amp;TEXT('Annual P&amp;L'!$D$21/100000,"0")&amp;" lakh in a normalised year. Without by-products, the fresh business alone would make ₹"&amp;TEXT(('Annual P&amp;L'!$B$21-'Waste Valorisation'!$B$76)/100000,"0")&amp;" lakh now."</f>
        <v>6. Whole business EBITDA: ₹44 lakh under current conditions vs ₹198 lakh in a normalised year. Without by-products, the fresh business alone would make ₹-32 lakh now.</v>
      </c>
      <c r="B49" s="5"/>
      <c r="C49" s="5"/>
      <c r="D49" s="5"/>
      <c r="E49" s="5"/>
    </row>
    <row r="50" customFormat="false" ht="42" hidden="false" customHeight="true" outlineLevel="0" collapsed="false">
      <c r="A50" s="5" t="s">
        <v>53</v>
      </c>
      <c r="B50" s="5"/>
      <c r="C50" s="5"/>
      <c r="D50" s="5"/>
      <c r="E50" s="5"/>
    </row>
    <row r="52" customFormat="false" ht="15" hidden="false" customHeight="false" outlineLevel="0" collapsed="false">
      <c r="A52" s="3" t="s">
        <v>54</v>
      </c>
      <c r="B52" s="4"/>
      <c r="C52" s="4"/>
      <c r="D52" s="4"/>
      <c r="E52" s="4"/>
    </row>
    <row r="53" customFormat="false" ht="30" hidden="false" customHeight="true" outlineLevel="0" collapsed="false">
      <c r="A53" s="5" t="s">
        <v>55</v>
      </c>
      <c r="B53" s="5"/>
      <c r="C53" s="5"/>
      <c r="D53" s="5"/>
      <c r="E53" s="5"/>
    </row>
    <row r="54" customFormat="false" ht="30" hidden="false" customHeight="true" outlineLevel="0" collapsed="false">
      <c r="A54" s="5" t="s">
        <v>56</v>
      </c>
      <c r="B54" s="5"/>
      <c r="C54" s="5"/>
      <c r="D54" s="5"/>
      <c r="E54" s="5"/>
    </row>
    <row r="55" customFormat="false" ht="30" hidden="false" customHeight="true" outlineLevel="0" collapsed="false">
      <c r="A55" s="5" t="s">
        <v>57</v>
      </c>
      <c r="B55" s="5"/>
      <c r="C55" s="5"/>
      <c r="D55" s="5"/>
      <c r="E55" s="5"/>
    </row>
  </sheetData>
  <mergeCells count="10">
    <mergeCell ref="A44:E44"/>
    <mergeCell ref="A45:E45"/>
    <mergeCell ref="A46:E46"/>
    <mergeCell ref="A47:E47"/>
    <mergeCell ref="A48:E48"/>
    <mergeCell ref="A49:E49"/>
    <mergeCell ref="A50:E50"/>
    <mergeCell ref="A53:E53"/>
    <mergeCell ref="A54:E54"/>
    <mergeCell ref="A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1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17" t="s">
        <v>60</v>
      </c>
      <c r="B4" s="17" t="s">
        <v>61</v>
      </c>
      <c r="C4" s="17" t="s">
        <v>62</v>
      </c>
      <c r="D4" s="17" t="s">
        <v>63</v>
      </c>
      <c r="E4" s="17" t="s">
        <v>64</v>
      </c>
      <c r="F4" s="17" t="s">
        <v>65</v>
      </c>
      <c r="G4" s="17" t="s">
        <v>66</v>
      </c>
    </row>
    <row r="5" customFormat="false" ht="15" hidden="false" customHeight="false" outlineLevel="0" collapsed="false">
      <c r="A5" s="3" t="s">
        <v>67</v>
      </c>
      <c r="B5" s="4"/>
      <c r="C5" s="4"/>
      <c r="D5" s="4"/>
      <c r="E5" s="4"/>
      <c r="F5" s="4"/>
      <c r="G5" s="4"/>
    </row>
    <row r="6" customFormat="false" ht="15" hidden="false" customHeight="false" outlineLevel="0" collapsed="false">
      <c r="A6" s="5" t="s">
        <v>68</v>
      </c>
      <c r="B6" s="18" t="n">
        <v>96</v>
      </c>
      <c r="C6" s="5" t="s">
        <v>69</v>
      </c>
      <c r="D6" s="18" t="n">
        <v>95.5</v>
      </c>
      <c r="E6" s="18" t="n">
        <v>96.1</v>
      </c>
      <c r="F6" s="5" t="s">
        <v>70</v>
      </c>
      <c r="G6" s="5" t="s">
        <v>71</v>
      </c>
    </row>
    <row r="7" customFormat="false" ht="15" hidden="false" customHeight="false" outlineLevel="0" collapsed="false">
      <c r="A7" s="5" t="s">
        <v>72</v>
      </c>
      <c r="B7" s="19" t="n">
        <v>300</v>
      </c>
      <c r="C7" s="5" t="s">
        <v>73</v>
      </c>
      <c r="D7" s="19" t="n">
        <v>270</v>
      </c>
      <c r="E7" s="19" t="n">
        <v>330</v>
      </c>
      <c r="F7" s="5" t="s">
        <v>74</v>
      </c>
      <c r="G7" s="5" t="s">
        <v>75</v>
      </c>
    </row>
    <row r="8" customFormat="false" ht="15" hidden="false" customHeight="false" outlineLevel="0" collapsed="false">
      <c r="A8" s="5" t="s">
        <v>76</v>
      </c>
      <c r="B8" s="20" t="n">
        <v>1.5</v>
      </c>
      <c r="C8" s="5" t="s">
        <v>77</v>
      </c>
      <c r="D8" s="20" t="n">
        <v>1.3</v>
      </c>
      <c r="E8" s="20" t="n">
        <v>2</v>
      </c>
      <c r="F8" s="5" t="s">
        <v>74</v>
      </c>
      <c r="G8" s="5" t="s">
        <v>78</v>
      </c>
    </row>
    <row r="9" customFormat="false" ht="15" hidden="false" customHeight="false" outlineLevel="0" collapsed="false">
      <c r="A9" s="3" t="s">
        <v>79</v>
      </c>
      <c r="B9" s="4"/>
      <c r="C9" s="4"/>
      <c r="D9" s="4"/>
      <c r="E9" s="4"/>
      <c r="F9" s="4"/>
      <c r="G9" s="4"/>
    </row>
    <row r="10" customFormat="false" ht="15" hidden="false" customHeight="false" outlineLevel="0" collapsed="false">
      <c r="A10" s="5" t="s">
        <v>80</v>
      </c>
      <c r="B10" s="19" t="n">
        <v>150</v>
      </c>
      <c r="C10" s="5" t="s">
        <v>81</v>
      </c>
      <c r="D10" s="21"/>
      <c r="E10" s="21"/>
      <c r="F10" s="5" t="s">
        <v>82</v>
      </c>
      <c r="G10" s="5" t="s">
        <v>83</v>
      </c>
    </row>
    <row r="11" customFormat="false" ht="15" hidden="false" customHeight="false" outlineLevel="0" collapsed="false">
      <c r="A11" s="5" t="s">
        <v>84</v>
      </c>
      <c r="B11" s="19" t="n">
        <v>1452</v>
      </c>
      <c r="C11" s="5" t="s">
        <v>85</v>
      </c>
      <c r="D11" s="19" t="n">
        <v>1200</v>
      </c>
      <c r="E11" s="19" t="n">
        <v>1452</v>
      </c>
      <c r="F11" s="5" t="s">
        <v>70</v>
      </c>
      <c r="G11" s="5" t="s">
        <v>86</v>
      </c>
    </row>
    <row r="12" customFormat="false" ht="15" hidden="false" customHeight="false" outlineLevel="0" collapsed="false">
      <c r="A12" s="5" t="s">
        <v>87</v>
      </c>
      <c r="B12" s="22" t="n">
        <v>16</v>
      </c>
      <c r="C12" s="5" t="s">
        <v>88</v>
      </c>
      <c r="D12" s="22" t="n">
        <v>10</v>
      </c>
      <c r="E12" s="22" t="n">
        <v>18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23" t="n">
        <v>0.03</v>
      </c>
      <c r="C13" s="5" t="s">
        <v>92</v>
      </c>
      <c r="D13" s="23" t="n">
        <v>0.02</v>
      </c>
      <c r="E13" s="23" t="n">
        <v>0.05</v>
      </c>
      <c r="F13" s="5" t="s">
        <v>74</v>
      </c>
      <c r="G13" s="5" t="s">
        <v>93</v>
      </c>
    </row>
    <row r="14" customFormat="false" ht="15" hidden="false" customHeight="false" outlineLevel="0" collapsed="false">
      <c r="A14" s="5" t="s">
        <v>94</v>
      </c>
      <c r="B14" s="19" t="n">
        <v>28</v>
      </c>
      <c r="C14" s="5" t="s">
        <v>95</v>
      </c>
      <c r="D14" s="19" t="n">
        <v>26.7</v>
      </c>
      <c r="E14" s="19" t="n">
        <v>35</v>
      </c>
      <c r="F14" s="5" t="s">
        <v>70</v>
      </c>
      <c r="G14" s="5" t="s">
        <v>96</v>
      </c>
    </row>
    <row r="15" customFormat="false" ht="15" hidden="false" customHeight="false" outlineLevel="0" collapsed="false">
      <c r="A15" s="5" t="s">
        <v>97</v>
      </c>
      <c r="B15" s="19" t="n">
        <v>20</v>
      </c>
      <c r="C15" s="5" t="s">
        <v>95</v>
      </c>
      <c r="D15" s="19" t="n">
        <v>10</v>
      </c>
      <c r="E15" s="19" t="n">
        <v>25</v>
      </c>
      <c r="F15" s="5" t="s">
        <v>70</v>
      </c>
      <c r="G15" s="5" t="s">
        <v>98</v>
      </c>
    </row>
    <row r="16" customFormat="false" ht="15" hidden="false" customHeight="false" outlineLevel="0" collapsed="false">
      <c r="A16" s="5" t="s">
        <v>99</v>
      </c>
      <c r="B16" s="19" t="n">
        <v>13</v>
      </c>
      <c r="C16" s="5" t="s">
        <v>100</v>
      </c>
      <c r="D16" s="19" t="n">
        <v>12</v>
      </c>
      <c r="E16" s="19" t="n">
        <v>14</v>
      </c>
      <c r="F16" s="5" t="s">
        <v>89</v>
      </c>
      <c r="G16" s="5" t="s">
        <v>101</v>
      </c>
    </row>
    <row r="17" customFormat="false" ht="15" hidden="false" customHeight="false" outlineLevel="0" collapsed="false">
      <c r="A17" s="5" t="s">
        <v>102</v>
      </c>
      <c r="B17" s="19" t="n">
        <v>9</v>
      </c>
      <c r="C17" s="5" t="s">
        <v>100</v>
      </c>
      <c r="D17" s="19" t="n">
        <v>8</v>
      </c>
      <c r="E17" s="19" t="n">
        <v>10</v>
      </c>
      <c r="F17" s="5" t="s">
        <v>74</v>
      </c>
      <c r="G17" s="5" t="s">
        <v>103</v>
      </c>
    </row>
    <row r="18" customFormat="false" ht="15" hidden="false" customHeight="false" outlineLevel="0" collapsed="false">
      <c r="A18" s="5" t="s">
        <v>104</v>
      </c>
      <c r="B18" s="18" t="n">
        <v>40000</v>
      </c>
      <c r="C18" s="5" t="s">
        <v>105</v>
      </c>
      <c r="D18" s="18" t="n">
        <v>30000</v>
      </c>
      <c r="E18" s="18" t="n">
        <v>80000</v>
      </c>
      <c r="F18" s="5" t="s">
        <v>70</v>
      </c>
      <c r="G18" s="5" t="s">
        <v>106</v>
      </c>
    </row>
    <row r="19" customFormat="false" ht="15" hidden="false" customHeight="false" outlineLevel="0" collapsed="false">
      <c r="A19" s="5" t="s">
        <v>107</v>
      </c>
      <c r="B19" s="18" t="n">
        <v>500</v>
      </c>
      <c r="C19" s="5" t="s">
        <v>108</v>
      </c>
      <c r="D19" s="18" t="n">
        <v>450</v>
      </c>
      <c r="E19" s="18" t="n">
        <v>512.5</v>
      </c>
      <c r="F19" s="5" t="s">
        <v>70</v>
      </c>
      <c r="G19" s="5" t="s">
        <v>109</v>
      </c>
    </row>
    <row r="20" customFormat="false" ht="15" hidden="false" customHeight="false" outlineLevel="0" collapsed="false">
      <c r="A20" s="5" t="s">
        <v>110</v>
      </c>
      <c r="B20" s="19" t="n">
        <v>80</v>
      </c>
      <c r="C20" s="5" t="s">
        <v>111</v>
      </c>
      <c r="D20" s="19" t="n">
        <v>65</v>
      </c>
      <c r="E20" s="19" t="n">
        <v>90</v>
      </c>
      <c r="F20" s="5" t="s">
        <v>89</v>
      </c>
      <c r="G20" s="5" t="s">
        <v>112</v>
      </c>
    </row>
    <row r="21" customFormat="false" ht="15" hidden="false" customHeight="false" outlineLevel="0" collapsed="false">
      <c r="A21" s="5" t="s">
        <v>113</v>
      </c>
      <c r="B21" s="19" t="n">
        <v>65</v>
      </c>
      <c r="C21" s="5" t="s">
        <v>111</v>
      </c>
      <c r="D21" s="19" t="n">
        <v>55</v>
      </c>
      <c r="E21" s="19" t="n">
        <v>80</v>
      </c>
      <c r="F21" s="5" t="s">
        <v>74</v>
      </c>
      <c r="G21" s="5" t="s">
        <v>114</v>
      </c>
    </row>
    <row r="22" customFormat="false" ht="15" hidden="false" customHeight="false" outlineLevel="0" collapsed="false">
      <c r="A22" s="5" t="s">
        <v>115</v>
      </c>
      <c r="B22" s="22" t="n">
        <v>5</v>
      </c>
      <c r="C22" s="5" t="s">
        <v>116</v>
      </c>
      <c r="D22" s="22" t="n">
        <v>4</v>
      </c>
      <c r="E22" s="22" t="n">
        <v>8</v>
      </c>
      <c r="F22" s="5" t="s">
        <v>74</v>
      </c>
      <c r="G22" s="5" t="s">
        <v>117</v>
      </c>
    </row>
    <row r="23" customFormat="false" ht="15" hidden="false" customHeight="false" outlineLevel="0" collapsed="false">
      <c r="A23" s="5" t="s">
        <v>118</v>
      </c>
      <c r="B23" s="18" t="n">
        <v>25000</v>
      </c>
      <c r="C23" s="5" t="s">
        <v>119</v>
      </c>
      <c r="D23" s="18" t="n">
        <v>25000</v>
      </c>
      <c r="E23" s="18" t="n">
        <v>60000</v>
      </c>
      <c r="F23" s="5" t="s">
        <v>70</v>
      </c>
      <c r="G23" s="5" t="s">
        <v>120</v>
      </c>
    </row>
    <row r="24" customFormat="false" ht="15" hidden="false" customHeight="false" outlineLevel="0" collapsed="false">
      <c r="A24" s="5" t="s">
        <v>121</v>
      </c>
      <c r="B24" s="19" t="n">
        <v>5</v>
      </c>
      <c r="C24" s="5" t="s">
        <v>122</v>
      </c>
      <c r="D24" s="19" t="n">
        <v>5</v>
      </c>
      <c r="E24" s="19" t="n">
        <v>7</v>
      </c>
      <c r="F24" s="5" t="s">
        <v>74</v>
      </c>
      <c r="G24" s="5"/>
    </row>
    <row r="25" customFormat="false" ht="15" hidden="false" customHeight="false" outlineLevel="0" collapsed="false">
      <c r="A25" s="5" t="s">
        <v>123</v>
      </c>
      <c r="B25" s="23" t="n">
        <v>0.07</v>
      </c>
      <c r="C25" s="5" t="s">
        <v>124</v>
      </c>
      <c r="D25" s="23" t="n">
        <v>0.04</v>
      </c>
      <c r="E25" s="23" t="n">
        <v>0.09</v>
      </c>
      <c r="F25" s="5" t="s">
        <v>70</v>
      </c>
      <c r="G25" s="5" t="s">
        <v>125</v>
      </c>
    </row>
    <row r="26" customFormat="false" ht="15" hidden="false" customHeight="false" outlineLevel="0" collapsed="false">
      <c r="A26" s="3" t="s">
        <v>126</v>
      </c>
      <c r="B26" s="4"/>
      <c r="C26" s="4"/>
      <c r="D26" s="4"/>
      <c r="E26" s="4"/>
      <c r="F26" s="4"/>
      <c r="G26" s="4"/>
    </row>
    <row r="27" customFormat="false" ht="15" hidden="false" customHeight="false" outlineLevel="0" collapsed="false">
      <c r="A27" s="5" t="s">
        <v>127</v>
      </c>
      <c r="B27" s="23" t="n">
        <v>0.08</v>
      </c>
      <c r="C27" s="5" t="s">
        <v>128</v>
      </c>
      <c r="D27" s="23" t="n">
        <v>0.06</v>
      </c>
      <c r="E27" s="23" t="n">
        <v>0.12</v>
      </c>
      <c r="F27" s="5" t="s">
        <v>74</v>
      </c>
      <c r="G27" s="5" t="s">
        <v>129</v>
      </c>
    </row>
    <row r="28" customFormat="false" ht="15" hidden="false" customHeight="false" outlineLevel="0" collapsed="false">
      <c r="A28" s="5" t="s">
        <v>130</v>
      </c>
      <c r="B28" s="23" t="n">
        <v>0.1</v>
      </c>
      <c r="C28" s="5" t="s">
        <v>131</v>
      </c>
      <c r="D28" s="23" t="n">
        <v>0.05</v>
      </c>
      <c r="E28" s="23" t="n">
        <v>0.15</v>
      </c>
      <c r="F28" s="5" t="s">
        <v>89</v>
      </c>
      <c r="G28" s="5" t="s">
        <v>132</v>
      </c>
    </row>
    <row r="29" customFormat="false" ht="15" hidden="false" customHeight="false" outlineLevel="0" collapsed="false">
      <c r="A29" s="5" t="s">
        <v>133</v>
      </c>
      <c r="B29" s="23" t="n">
        <v>0.015</v>
      </c>
      <c r="C29" s="5" t="s">
        <v>134</v>
      </c>
      <c r="D29" s="23" t="n">
        <v>0.01</v>
      </c>
      <c r="E29" s="23" t="n">
        <v>0.03</v>
      </c>
      <c r="F29" s="5" t="s">
        <v>74</v>
      </c>
      <c r="G29" s="5" t="s">
        <v>135</v>
      </c>
    </row>
    <row r="30" customFormat="false" ht="15" hidden="false" customHeight="false" outlineLevel="0" collapsed="false">
      <c r="A30" s="5" t="s">
        <v>136</v>
      </c>
      <c r="B30" s="23" t="n">
        <v>0.25</v>
      </c>
      <c r="C30" s="5" t="s">
        <v>137</v>
      </c>
      <c r="D30" s="24"/>
      <c r="E30" s="24"/>
      <c r="F30" s="5" t="s">
        <v>82</v>
      </c>
      <c r="G30" s="5" t="s">
        <v>138</v>
      </c>
    </row>
    <row r="31" customFormat="false" ht="15" hidden="false" customHeight="false" outlineLevel="0" collapsed="false">
      <c r="A31" s="5" t="s">
        <v>139</v>
      </c>
      <c r="B31" s="19" t="n">
        <v>13</v>
      </c>
      <c r="C31" s="5" t="s">
        <v>140</v>
      </c>
      <c r="D31" s="19" t="n">
        <v>13</v>
      </c>
      <c r="E31" s="19" t="n">
        <v>13.5</v>
      </c>
      <c r="F31" s="5" t="s">
        <v>70</v>
      </c>
      <c r="G31" s="5" t="s">
        <v>141</v>
      </c>
    </row>
    <row r="32" customFormat="false" ht="15" hidden="false" customHeight="false" outlineLevel="0" collapsed="false">
      <c r="A32" s="5" t="s">
        <v>142</v>
      </c>
      <c r="B32" s="19" t="n">
        <v>1540</v>
      </c>
      <c r="C32" s="5" t="s">
        <v>143</v>
      </c>
      <c r="D32" s="19" t="n">
        <v>1400</v>
      </c>
      <c r="E32" s="19" t="n">
        <v>1540</v>
      </c>
      <c r="F32" s="5" t="s">
        <v>70</v>
      </c>
      <c r="G32" s="5" t="s">
        <v>144</v>
      </c>
    </row>
    <row r="33" customFormat="false" ht="15" hidden="false" customHeight="false" outlineLevel="0" collapsed="false">
      <c r="A33" s="5" t="s">
        <v>145</v>
      </c>
      <c r="B33" s="19" t="n">
        <v>30</v>
      </c>
      <c r="C33" s="5" t="s">
        <v>146</v>
      </c>
      <c r="D33" s="19" t="n">
        <v>20</v>
      </c>
      <c r="E33" s="19" t="n">
        <v>40</v>
      </c>
      <c r="F33" s="5" t="s">
        <v>89</v>
      </c>
      <c r="G33" s="5" t="s">
        <v>147</v>
      </c>
    </row>
    <row r="34" customFormat="false" ht="15" hidden="false" customHeight="false" outlineLevel="0" collapsed="false">
      <c r="A34" s="3" t="s">
        <v>148</v>
      </c>
      <c r="B34" s="4"/>
      <c r="C34" s="4"/>
      <c r="D34" s="4"/>
      <c r="E34" s="4"/>
      <c r="F34" s="4"/>
      <c r="G34" s="4"/>
    </row>
    <row r="35" customFormat="false" ht="15" hidden="false" customHeight="false" outlineLevel="0" collapsed="false">
      <c r="A35" s="5" t="s">
        <v>149</v>
      </c>
      <c r="B35" s="19" t="n">
        <v>13</v>
      </c>
      <c r="C35" s="5" t="s">
        <v>150</v>
      </c>
      <c r="D35" s="21"/>
      <c r="E35" s="21"/>
      <c r="F35" s="5" t="s">
        <v>82</v>
      </c>
      <c r="G35" s="5" t="s">
        <v>151</v>
      </c>
    </row>
    <row r="36" customFormat="false" ht="15" hidden="false" customHeight="false" outlineLevel="0" collapsed="false">
      <c r="A36" s="5" t="s">
        <v>152</v>
      </c>
      <c r="B36" s="19" t="n">
        <v>10</v>
      </c>
      <c r="C36" s="5" t="s">
        <v>153</v>
      </c>
      <c r="D36" s="21"/>
      <c r="E36" s="21"/>
      <c r="F36" s="5" t="s">
        <v>82</v>
      </c>
      <c r="G36" s="5" t="s">
        <v>154</v>
      </c>
    </row>
    <row r="37" customFormat="false" ht="15" hidden="false" customHeight="false" outlineLevel="0" collapsed="false">
      <c r="A37" s="5" t="s">
        <v>155</v>
      </c>
      <c r="B37" s="19" t="n">
        <v>3</v>
      </c>
      <c r="C37" s="5" t="s">
        <v>153</v>
      </c>
      <c r="D37" s="21"/>
      <c r="E37" s="21"/>
      <c r="F37" s="5" t="s">
        <v>82</v>
      </c>
      <c r="G37" s="5" t="s">
        <v>154</v>
      </c>
    </row>
    <row r="38" customFormat="false" ht="15" hidden="false" customHeight="false" outlineLevel="0" collapsed="false">
      <c r="A38" s="5" t="s">
        <v>156</v>
      </c>
      <c r="B38" s="18" t="n">
        <v>1000</v>
      </c>
      <c r="C38" s="5" t="s">
        <v>157</v>
      </c>
      <c r="D38" s="25"/>
      <c r="E38" s="25"/>
      <c r="F38" s="5" t="s">
        <v>82</v>
      </c>
      <c r="G38" s="5" t="s">
        <v>158</v>
      </c>
    </row>
    <row r="39" customFormat="false" ht="15" hidden="false" customHeight="false" outlineLevel="0" collapsed="false">
      <c r="A39" s="5" t="s">
        <v>159</v>
      </c>
      <c r="B39" s="22" t="n">
        <v>0.5</v>
      </c>
      <c r="C39" s="5" t="s">
        <v>160</v>
      </c>
      <c r="D39" s="22" t="n">
        <v>0.3</v>
      </c>
      <c r="E39" s="22" t="n">
        <v>0.8</v>
      </c>
      <c r="F39" s="5" t="s">
        <v>74</v>
      </c>
      <c r="G39" s="5" t="s">
        <v>161</v>
      </c>
    </row>
    <row r="40" customFormat="false" ht="15" hidden="false" customHeight="false" outlineLevel="0" collapsed="false">
      <c r="A40" s="5" t="s">
        <v>162</v>
      </c>
      <c r="B40" s="19" t="n">
        <v>30</v>
      </c>
      <c r="C40" s="5" t="s">
        <v>153</v>
      </c>
      <c r="D40" s="19" t="n">
        <v>25</v>
      </c>
      <c r="E40" s="19" t="n">
        <v>40</v>
      </c>
      <c r="F40" s="5" t="s">
        <v>74</v>
      </c>
      <c r="G40" s="5" t="s">
        <v>163</v>
      </c>
    </row>
    <row r="41" customFormat="false" ht="15" hidden="false" customHeight="false" outlineLevel="0" collapsed="false">
      <c r="A41" s="5" t="s">
        <v>164</v>
      </c>
      <c r="B41" s="18" t="n">
        <v>512.5</v>
      </c>
      <c r="C41" s="5" t="s">
        <v>108</v>
      </c>
      <c r="D41" s="18" t="n">
        <v>501.5</v>
      </c>
      <c r="E41" s="18" t="n">
        <v>600</v>
      </c>
      <c r="F41" s="5" t="s">
        <v>70</v>
      </c>
      <c r="G41" s="5" t="s">
        <v>165</v>
      </c>
    </row>
    <row r="42" customFormat="false" ht="15" hidden="false" customHeight="false" outlineLevel="0" collapsed="false">
      <c r="A42" s="5" t="s">
        <v>166</v>
      </c>
      <c r="B42" s="22" t="n">
        <v>0.4</v>
      </c>
      <c r="C42" s="5" t="s">
        <v>167</v>
      </c>
      <c r="D42" s="22" t="n">
        <v>0.3</v>
      </c>
      <c r="E42" s="22" t="n">
        <v>0.6</v>
      </c>
      <c r="F42" s="5" t="s">
        <v>82</v>
      </c>
      <c r="G42" s="5" t="s">
        <v>168</v>
      </c>
    </row>
    <row r="43" customFormat="false" ht="15" hidden="false" customHeight="false" outlineLevel="0" collapsed="false">
      <c r="A43" s="5" t="s">
        <v>169</v>
      </c>
      <c r="B43" s="22" t="n">
        <v>0.05</v>
      </c>
      <c r="C43" s="5" t="s">
        <v>167</v>
      </c>
      <c r="D43" s="22" t="n">
        <v>0.03</v>
      </c>
      <c r="E43" s="22" t="n">
        <v>0.1</v>
      </c>
      <c r="F43" s="5" t="s">
        <v>74</v>
      </c>
      <c r="G43" s="5"/>
    </row>
    <row r="44" customFormat="false" ht="15" hidden="false" customHeight="false" outlineLevel="0" collapsed="false">
      <c r="A44" s="5" t="s">
        <v>170</v>
      </c>
      <c r="B44" s="19" t="n">
        <v>45</v>
      </c>
      <c r="C44" s="5" t="s">
        <v>171</v>
      </c>
      <c r="D44" s="19" t="n">
        <v>35</v>
      </c>
      <c r="E44" s="19" t="n">
        <v>60</v>
      </c>
      <c r="F44" s="5" t="s">
        <v>89</v>
      </c>
      <c r="G44" s="5" t="s">
        <v>172</v>
      </c>
    </row>
    <row r="45" customFormat="false" ht="15" hidden="false" customHeight="false" outlineLevel="0" collapsed="false">
      <c r="A45" s="5" t="s">
        <v>173</v>
      </c>
      <c r="B45" s="22" t="n">
        <v>8.5</v>
      </c>
      <c r="C45" s="5" t="s">
        <v>174</v>
      </c>
      <c r="D45" s="22" t="n">
        <v>7.5</v>
      </c>
      <c r="E45" s="22" t="n">
        <v>9</v>
      </c>
      <c r="F45" s="5" t="s">
        <v>70</v>
      </c>
      <c r="G45" s="5" t="s">
        <v>175</v>
      </c>
    </row>
    <row r="46" customFormat="false" ht="15" hidden="false" customHeight="false" outlineLevel="0" collapsed="false">
      <c r="A46" s="5" t="s">
        <v>176</v>
      </c>
      <c r="B46" s="23" t="n">
        <v>0.13</v>
      </c>
      <c r="C46" s="5" t="s">
        <v>177</v>
      </c>
      <c r="D46" s="23" t="n">
        <v>0.12</v>
      </c>
      <c r="E46" s="23" t="n">
        <v>0.2</v>
      </c>
      <c r="F46" s="5" t="s">
        <v>74</v>
      </c>
      <c r="G46" s="5"/>
    </row>
    <row r="47" customFormat="false" ht="15" hidden="false" customHeight="false" outlineLevel="0" collapsed="false">
      <c r="A47" s="3" t="s">
        <v>16</v>
      </c>
      <c r="B47" s="4"/>
      <c r="C47" s="4"/>
      <c r="D47" s="4"/>
      <c r="E47" s="4"/>
      <c r="F47" s="4"/>
      <c r="G47" s="4"/>
    </row>
    <row r="48" customFormat="false" ht="15" hidden="false" customHeight="false" outlineLevel="0" collapsed="false">
      <c r="A48" s="5" t="s">
        <v>178</v>
      </c>
      <c r="B48" s="18" t="n">
        <v>84</v>
      </c>
      <c r="C48" s="5" t="s">
        <v>179</v>
      </c>
      <c r="D48" s="18" t="n">
        <v>75</v>
      </c>
      <c r="E48" s="18" t="n">
        <v>95</v>
      </c>
      <c r="F48" s="5" t="s">
        <v>70</v>
      </c>
      <c r="G48" s="5" t="s">
        <v>180</v>
      </c>
    </row>
    <row r="49" customFormat="false" ht="15" hidden="false" customHeight="false" outlineLevel="0" collapsed="false">
      <c r="A49" s="5" t="s">
        <v>181</v>
      </c>
      <c r="B49" s="22" t="n">
        <v>7</v>
      </c>
      <c r="C49" s="5" t="s">
        <v>179</v>
      </c>
      <c r="D49" s="22" t="n">
        <v>5</v>
      </c>
      <c r="E49" s="22" t="n">
        <v>10</v>
      </c>
      <c r="F49" s="5" t="s">
        <v>74</v>
      </c>
      <c r="G49" s="5"/>
    </row>
    <row r="50" customFormat="false" ht="15" hidden="false" customHeight="false" outlineLevel="0" collapsed="false">
      <c r="A50" s="5" t="s">
        <v>182</v>
      </c>
      <c r="B50" s="22" t="n">
        <v>4</v>
      </c>
      <c r="C50" s="5" t="s">
        <v>179</v>
      </c>
      <c r="D50" s="22" t="n">
        <v>3</v>
      </c>
      <c r="E50" s="22" t="n">
        <v>6</v>
      </c>
      <c r="F50" s="5" t="s">
        <v>74</v>
      </c>
      <c r="G50" s="5"/>
    </row>
    <row r="51" customFormat="false" ht="15" hidden="false" customHeight="false" outlineLevel="0" collapsed="false">
      <c r="A51" s="5" t="s">
        <v>183</v>
      </c>
      <c r="B51" s="22" t="n">
        <v>3</v>
      </c>
      <c r="C51" s="5" t="s">
        <v>179</v>
      </c>
      <c r="D51" s="22" t="n">
        <v>2</v>
      </c>
      <c r="E51" s="22" t="n">
        <v>5</v>
      </c>
      <c r="F51" s="5" t="s">
        <v>74</v>
      </c>
      <c r="G51" s="5"/>
    </row>
    <row r="52" customFormat="false" ht="15" hidden="false" customHeight="false" outlineLevel="0" collapsed="false">
      <c r="A52" s="5" t="s">
        <v>184</v>
      </c>
      <c r="B52" s="18" t="n">
        <v>60</v>
      </c>
      <c r="C52" s="5" t="s">
        <v>179</v>
      </c>
      <c r="D52" s="18" t="n">
        <v>50</v>
      </c>
      <c r="E52" s="18" t="n">
        <v>84</v>
      </c>
      <c r="F52" s="5" t="s">
        <v>74</v>
      </c>
      <c r="G52" s="5" t="s">
        <v>185</v>
      </c>
    </row>
    <row r="53" customFormat="false" ht="15" hidden="false" customHeight="false" outlineLevel="0" collapsed="false">
      <c r="A53" s="5" t="s">
        <v>186</v>
      </c>
      <c r="B53" s="22" t="n">
        <v>5</v>
      </c>
      <c r="C53" s="5" t="s">
        <v>179</v>
      </c>
      <c r="D53" s="22" t="n">
        <v>3</v>
      </c>
      <c r="E53" s="22" t="n">
        <v>7</v>
      </c>
      <c r="F53" s="5" t="s">
        <v>74</v>
      </c>
      <c r="G53" s="5"/>
    </row>
    <row r="54" customFormat="false" ht="15" hidden="false" customHeight="false" outlineLevel="0" collapsed="false">
      <c r="A54" s="5" t="s">
        <v>187</v>
      </c>
      <c r="B54" s="22" t="n">
        <v>2</v>
      </c>
      <c r="C54" s="5" t="s">
        <v>179</v>
      </c>
      <c r="D54" s="22" t="n">
        <v>1</v>
      </c>
      <c r="E54" s="22" t="n">
        <v>4</v>
      </c>
      <c r="F54" s="5" t="s">
        <v>74</v>
      </c>
      <c r="G54" s="5"/>
    </row>
    <row r="55" customFormat="false" ht="15" hidden="false" customHeight="false" outlineLevel="0" collapsed="false">
      <c r="A55" s="3" t="s">
        <v>188</v>
      </c>
      <c r="B55" s="4"/>
      <c r="C55" s="4"/>
      <c r="D55" s="4"/>
      <c r="E55" s="4"/>
      <c r="F55" s="4"/>
      <c r="G55" s="4"/>
    </row>
    <row r="56" customFormat="false" ht="23.85" hidden="false" customHeight="false" outlineLevel="0" collapsed="false">
      <c r="A56" s="5" t="s">
        <v>189</v>
      </c>
      <c r="B56" s="26" t="n">
        <v>7</v>
      </c>
      <c r="C56" s="5" t="s">
        <v>190</v>
      </c>
      <c r="D56" s="26" t="n">
        <v>5.5</v>
      </c>
      <c r="E56" s="26" t="n">
        <v>9</v>
      </c>
      <c r="F56" s="5" t="s">
        <v>89</v>
      </c>
      <c r="G56" s="5" t="s">
        <v>191</v>
      </c>
    </row>
    <row r="57" customFormat="false" ht="15" hidden="false" customHeight="false" outlineLevel="0" collapsed="false">
      <c r="A57" s="5" t="s">
        <v>192</v>
      </c>
      <c r="B57" s="18" t="n">
        <v>60000</v>
      </c>
      <c r="C57" s="5" t="s">
        <v>193</v>
      </c>
      <c r="D57" s="18" t="n">
        <v>50000</v>
      </c>
      <c r="E57" s="18" t="n">
        <v>70000</v>
      </c>
      <c r="F57" s="5" t="s">
        <v>82</v>
      </c>
      <c r="G57" s="5" t="s">
        <v>194</v>
      </c>
    </row>
    <row r="58" customFormat="false" ht="15" hidden="false" customHeight="false" outlineLevel="0" collapsed="false">
      <c r="A58" s="5" t="s">
        <v>195</v>
      </c>
      <c r="B58" s="18" t="n">
        <v>22000</v>
      </c>
      <c r="C58" s="5" t="s">
        <v>193</v>
      </c>
      <c r="D58" s="18" t="n">
        <v>18000</v>
      </c>
      <c r="E58" s="18" t="n">
        <v>28000</v>
      </c>
      <c r="F58" s="5" t="s">
        <v>74</v>
      </c>
      <c r="G58" s="5"/>
    </row>
    <row r="59" customFormat="false" ht="15" hidden="false" customHeight="false" outlineLevel="0" collapsed="false">
      <c r="A59" s="5" t="s">
        <v>196</v>
      </c>
      <c r="B59" s="18" t="n">
        <v>20000</v>
      </c>
      <c r="C59" s="5" t="s">
        <v>193</v>
      </c>
      <c r="D59" s="18" t="n">
        <v>15000</v>
      </c>
      <c r="E59" s="18" t="n">
        <v>25000</v>
      </c>
      <c r="F59" s="5" t="s">
        <v>82</v>
      </c>
      <c r="G59" s="5" t="s">
        <v>197</v>
      </c>
    </row>
    <row r="60" customFormat="false" ht="15" hidden="false" customHeight="false" outlineLevel="0" collapsed="false">
      <c r="A60" s="5" t="s">
        <v>198</v>
      </c>
      <c r="B60" s="18" t="n">
        <v>14000</v>
      </c>
      <c r="C60" s="5" t="s">
        <v>193</v>
      </c>
      <c r="D60" s="18" t="n">
        <v>10000</v>
      </c>
      <c r="E60" s="18" t="n">
        <v>18000</v>
      </c>
      <c r="F60" s="5" t="s">
        <v>74</v>
      </c>
      <c r="G60" s="5" t="s">
        <v>199</v>
      </c>
    </row>
    <row r="61" customFormat="false" ht="15" hidden="false" customHeight="false" outlineLevel="0" collapsed="false">
      <c r="A61" s="5" t="s">
        <v>200</v>
      </c>
      <c r="B61" s="27" t="n">
        <v>2000</v>
      </c>
      <c r="C61" s="5" t="s">
        <v>201</v>
      </c>
      <c r="D61" s="27" t="n">
        <v>1500</v>
      </c>
      <c r="E61" s="27" t="n">
        <v>3000</v>
      </c>
      <c r="F61" s="5" t="s">
        <v>89</v>
      </c>
      <c r="G61" s="5" t="s">
        <v>202</v>
      </c>
    </row>
    <row r="62" customFormat="false" ht="15" hidden="false" customHeight="false" outlineLevel="0" collapsed="false">
      <c r="A62" s="5" t="s">
        <v>203</v>
      </c>
      <c r="B62" s="27" t="n">
        <v>4000</v>
      </c>
      <c r="C62" s="5" t="s">
        <v>204</v>
      </c>
      <c r="D62" s="27" t="n">
        <v>3500</v>
      </c>
      <c r="E62" s="27" t="n">
        <v>4800</v>
      </c>
      <c r="F62" s="5" t="s">
        <v>70</v>
      </c>
      <c r="G62" s="5" t="s">
        <v>205</v>
      </c>
    </row>
    <row r="63" customFormat="false" ht="15" hidden="false" customHeight="false" outlineLevel="0" collapsed="false">
      <c r="A63" s="5" t="s">
        <v>206</v>
      </c>
      <c r="B63" s="19" t="n">
        <v>1</v>
      </c>
      <c r="C63" s="5" t="s">
        <v>207</v>
      </c>
      <c r="D63" s="19" t="n">
        <v>0</v>
      </c>
      <c r="E63" s="19" t="n">
        <v>1</v>
      </c>
      <c r="F63" s="5" t="s">
        <v>70</v>
      </c>
      <c r="G63" s="5" t="s">
        <v>208</v>
      </c>
    </row>
    <row r="64" customFormat="false" ht="15" hidden="false" customHeight="false" outlineLevel="0" collapsed="false">
      <c r="A64" s="5" t="s">
        <v>209</v>
      </c>
      <c r="B64" s="23" t="n">
        <v>0.003</v>
      </c>
      <c r="C64" s="5" t="s">
        <v>210</v>
      </c>
      <c r="D64" s="23" t="n">
        <v>0.002</v>
      </c>
      <c r="E64" s="23" t="n">
        <v>0.005</v>
      </c>
      <c r="F64" s="5" t="s">
        <v>74</v>
      </c>
      <c r="G64" s="5" t="s">
        <v>211</v>
      </c>
    </row>
    <row r="65" customFormat="false" ht="15" hidden="false" customHeight="false" outlineLevel="0" collapsed="false">
      <c r="A65" s="5" t="s">
        <v>212</v>
      </c>
      <c r="B65" s="23" t="n">
        <v>0.0075</v>
      </c>
      <c r="C65" s="5" t="s">
        <v>213</v>
      </c>
      <c r="D65" s="23" t="n">
        <v>0.005</v>
      </c>
      <c r="E65" s="23" t="n">
        <v>0.01</v>
      </c>
      <c r="F65" s="5" t="s">
        <v>74</v>
      </c>
      <c r="G65" s="5"/>
    </row>
    <row r="66" customFormat="false" ht="15" hidden="false" customHeight="false" outlineLevel="0" collapsed="false">
      <c r="A66" s="5" t="s">
        <v>214</v>
      </c>
      <c r="B66" s="23" t="n">
        <v>0.03</v>
      </c>
      <c r="C66" s="5" t="s">
        <v>213</v>
      </c>
      <c r="D66" s="23" t="n">
        <v>0.01</v>
      </c>
      <c r="E66" s="23" t="n">
        <v>0.08</v>
      </c>
      <c r="F66" s="5" t="s">
        <v>74</v>
      </c>
      <c r="G66" s="5" t="s">
        <v>215</v>
      </c>
    </row>
    <row r="67" customFormat="false" ht="15" hidden="false" customHeight="false" outlineLevel="0" collapsed="false">
      <c r="A67" s="5" t="s">
        <v>216</v>
      </c>
      <c r="B67" s="28"/>
      <c r="C67" s="5" t="s">
        <v>217</v>
      </c>
      <c r="D67" s="24"/>
      <c r="E67" s="24"/>
      <c r="F67" s="5" t="s">
        <v>218</v>
      </c>
      <c r="G67" s="5" t="s">
        <v>219</v>
      </c>
    </row>
    <row r="68" customFormat="false" ht="15" hidden="false" customHeight="false" outlineLevel="0" collapsed="false">
      <c r="A68" s="3" t="s">
        <v>220</v>
      </c>
      <c r="B68" s="4"/>
      <c r="C68" s="4"/>
      <c r="D68" s="4"/>
      <c r="E68" s="4"/>
      <c r="F68" s="4"/>
      <c r="G68" s="4"/>
    </row>
    <row r="69" customFormat="false" ht="23.85" hidden="false" customHeight="false" outlineLevel="0" collapsed="false">
      <c r="A69" s="5" t="s">
        <v>221</v>
      </c>
      <c r="B69" s="18" t="n">
        <v>28</v>
      </c>
      <c r="C69" s="5" t="s">
        <v>222</v>
      </c>
      <c r="D69" s="18" t="n">
        <v>22</v>
      </c>
      <c r="E69" s="18" t="n">
        <v>34</v>
      </c>
      <c r="F69" s="5" t="s">
        <v>89</v>
      </c>
      <c r="G69" s="5" t="s">
        <v>223</v>
      </c>
    </row>
    <row r="70" customFormat="false" ht="15" hidden="false" customHeight="false" outlineLevel="0" collapsed="false">
      <c r="A70" s="5" t="s">
        <v>224</v>
      </c>
      <c r="B70" s="19" t="n">
        <v>9000</v>
      </c>
      <c r="C70" s="5" t="s">
        <v>225</v>
      </c>
      <c r="D70" s="19" t="n">
        <v>8000</v>
      </c>
      <c r="E70" s="19" t="n">
        <v>10000</v>
      </c>
      <c r="F70" s="5" t="s">
        <v>74</v>
      </c>
      <c r="G70" s="5"/>
    </row>
    <row r="71" customFormat="false" ht="15" hidden="false" customHeight="false" outlineLevel="0" collapsed="false">
      <c r="A71" s="5" t="s">
        <v>226</v>
      </c>
      <c r="B71" s="18" t="n">
        <v>15000</v>
      </c>
      <c r="C71" s="5" t="s">
        <v>227</v>
      </c>
      <c r="D71" s="25"/>
      <c r="E71" s="25"/>
      <c r="F71" s="5" t="s">
        <v>74</v>
      </c>
      <c r="G71" s="5" t="s">
        <v>228</v>
      </c>
    </row>
    <row r="72" customFormat="false" ht="15" hidden="false" customHeight="false" outlineLevel="0" collapsed="false">
      <c r="A72" s="5" t="s">
        <v>229</v>
      </c>
      <c r="B72" s="18" t="n">
        <v>35000</v>
      </c>
      <c r="C72" s="5" t="s">
        <v>227</v>
      </c>
      <c r="D72" s="25"/>
      <c r="E72" s="25"/>
      <c r="F72" s="5" t="s">
        <v>74</v>
      </c>
      <c r="G72" s="5" t="s">
        <v>228</v>
      </c>
    </row>
    <row r="73" customFormat="false" ht="15" hidden="false" customHeight="false" outlineLevel="0" collapsed="false">
      <c r="A73" s="5" t="s">
        <v>230</v>
      </c>
      <c r="B73" s="18" t="n">
        <v>80000</v>
      </c>
      <c r="C73" s="5" t="s">
        <v>227</v>
      </c>
      <c r="D73" s="25"/>
      <c r="E73" s="25"/>
      <c r="F73" s="5" t="s">
        <v>74</v>
      </c>
      <c r="G73" s="5" t="s">
        <v>228</v>
      </c>
    </row>
    <row r="74" customFormat="false" ht="15" hidden="false" customHeight="false" outlineLevel="0" collapsed="false">
      <c r="A74" s="5" t="s">
        <v>231</v>
      </c>
      <c r="B74" s="23" t="n">
        <v>0.3</v>
      </c>
      <c r="C74" s="5" t="s">
        <v>137</v>
      </c>
      <c r="D74" s="24"/>
      <c r="E74" s="24"/>
      <c r="F74" s="5" t="s">
        <v>74</v>
      </c>
      <c r="G74" s="5"/>
    </row>
    <row r="75" customFormat="false" ht="15" hidden="false" customHeight="false" outlineLevel="0" collapsed="false">
      <c r="A75" s="5" t="s">
        <v>232</v>
      </c>
      <c r="B75" s="23" t="n">
        <v>0.4</v>
      </c>
      <c r="C75" s="5" t="s">
        <v>137</v>
      </c>
      <c r="D75" s="24"/>
      <c r="E75" s="24"/>
      <c r="F75" s="5" t="s">
        <v>74</v>
      </c>
      <c r="G75" s="5"/>
    </row>
    <row r="76" customFormat="false" ht="15" hidden="false" customHeight="false" outlineLevel="0" collapsed="false">
      <c r="A76" s="5" t="s">
        <v>233</v>
      </c>
      <c r="B76" s="23" t="n">
        <v>0.3</v>
      </c>
      <c r="C76" s="5" t="s">
        <v>137</v>
      </c>
      <c r="D76" s="24"/>
      <c r="E76" s="24"/>
      <c r="F76" s="5" t="s">
        <v>74</v>
      </c>
      <c r="G76" s="5" t="s">
        <v>234</v>
      </c>
    </row>
    <row r="77" customFormat="false" ht="15" hidden="false" customHeight="false" outlineLevel="0" collapsed="false">
      <c r="A77" s="5" t="s">
        <v>235</v>
      </c>
      <c r="B77" s="23" t="n">
        <v>0.03</v>
      </c>
      <c r="C77" s="5" t="s">
        <v>213</v>
      </c>
      <c r="D77" s="23" t="n">
        <v>0.02</v>
      </c>
      <c r="E77" s="23" t="n">
        <v>0.06</v>
      </c>
      <c r="F77" s="5" t="s">
        <v>74</v>
      </c>
      <c r="G77" s="5"/>
    </row>
    <row r="78" customFormat="false" ht="15" hidden="false" customHeight="false" outlineLevel="0" collapsed="false">
      <c r="A78" s="5" t="s">
        <v>236</v>
      </c>
      <c r="B78" s="19" t="n">
        <v>45</v>
      </c>
      <c r="C78" s="5" t="s">
        <v>73</v>
      </c>
      <c r="D78" s="19" t="n">
        <v>30</v>
      </c>
      <c r="E78" s="19" t="n">
        <v>60</v>
      </c>
      <c r="F78" s="5" t="s">
        <v>74</v>
      </c>
      <c r="G78" s="5"/>
    </row>
    <row r="79" customFormat="false" ht="15" hidden="false" customHeight="false" outlineLevel="0" collapsed="false">
      <c r="A79" s="3" t="s">
        <v>237</v>
      </c>
      <c r="B79" s="4"/>
      <c r="C79" s="4"/>
      <c r="D79" s="4"/>
      <c r="E79" s="4"/>
      <c r="F79" s="4"/>
      <c r="G79" s="4"/>
    </row>
    <row r="80" customFormat="false" ht="15" hidden="false" customHeight="false" outlineLevel="0" collapsed="false">
      <c r="A80" s="5" t="s">
        <v>238</v>
      </c>
      <c r="B80" s="23" t="n">
        <v>0.35</v>
      </c>
      <c r="C80" s="5" t="s">
        <v>239</v>
      </c>
      <c r="D80" s="23" t="n">
        <v>0.35</v>
      </c>
      <c r="E80" s="23" t="n">
        <v>0.5</v>
      </c>
      <c r="F80" s="5" t="s">
        <v>70</v>
      </c>
      <c r="G80" s="5" t="s">
        <v>240</v>
      </c>
    </row>
    <row r="81" customFormat="false" ht="15" hidden="false" customHeight="false" outlineLevel="0" collapsed="false">
      <c r="A81" s="5" t="s">
        <v>241</v>
      </c>
      <c r="B81" s="23" t="n">
        <v>0.25</v>
      </c>
      <c r="C81" s="5" t="s">
        <v>137</v>
      </c>
      <c r="D81" s="23" t="n">
        <v>0.2</v>
      </c>
      <c r="E81" s="23" t="n">
        <v>0.4</v>
      </c>
      <c r="F81" s="5" t="s">
        <v>74</v>
      </c>
      <c r="G81" s="5" t="s">
        <v>242</v>
      </c>
    </row>
    <row r="82" customFormat="false" ht="15" hidden="false" customHeight="false" outlineLevel="0" collapsed="false">
      <c r="A82" s="5" t="s">
        <v>243</v>
      </c>
      <c r="B82" s="23" t="n">
        <v>0.105</v>
      </c>
      <c r="C82" s="5" t="s">
        <v>124</v>
      </c>
      <c r="D82" s="23" t="n">
        <v>0.1</v>
      </c>
      <c r="E82" s="23" t="n">
        <v>0.12</v>
      </c>
      <c r="F82" s="5" t="s">
        <v>70</v>
      </c>
      <c r="G82" s="5" t="s">
        <v>244</v>
      </c>
    </row>
    <row r="83" customFormat="false" ht="15" hidden="false" customHeight="false" outlineLevel="0" collapsed="false">
      <c r="A83" s="5" t="s">
        <v>245</v>
      </c>
      <c r="B83" s="23" t="n">
        <v>0.03</v>
      </c>
      <c r="C83" s="5" t="s">
        <v>124</v>
      </c>
      <c r="D83" s="24"/>
      <c r="E83" s="24"/>
      <c r="F83" s="5" t="s">
        <v>70</v>
      </c>
      <c r="G83" s="5" t="s">
        <v>246</v>
      </c>
    </row>
    <row r="84" customFormat="false" ht="15" hidden="false" customHeight="false" outlineLevel="0" collapsed="false">
      <c r="A84" s="5" t="s">
        <v>247</v>
      </c>
      <c r="B84" s="18" t="n">
        <v>20000000</v>
      </c>
      <c r="C84" s="5" t="s">
        <v>248</v>
      </c>
      <c r="D84" s="25"/>
      <c r="E84" s="25"/>
      <c r="F84" s="5" t="s">
        <v>70</v>
      </c>
      <c r="G84" s="5" t="s">
        <v>249</v>
      </c>
    </row>
    <row r="85" customFormat="false" ht="15" hidden="false" customHeight="false" outlineLevel="0" collapsed="false">
      <c r="A85" s="5" t="s">
        <v>250</v>
      </c>
      <c r="B85" s="19" t="n">
        <v>7</v>
      </c>
      <c r="C85" s="5" t="s">
        <v>122</v>
      </c>
      <c r="D85" s="19" t="n">
        <v>5</v>
      </c>
      <c r="E85" s="19" t="n">
        <v>9</v>
      </c>
      <c r="F85" s="5" t="s">
        <v>74</v>
      </c>
      <c r="G8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8"/>
    <col collapsed="false" customWidth="true" hidden="false" outlineLevel="0" max="4" min="4" style="0" width="46"/>
    <col collapsed="false" customWidth="true" hidden="false" outlineLevel="0" max="5" min="5" style="0" width="12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251</v>
      </c>
    </row>
    <row r="2" customFormat="false" ht="15" hidden="false" customHeight="false" outlineLevel="0" collapsed="false">
      <c r="A2" s="2" t="s">
        <v>252</v>
      </c>
    </row>
    <row r="4" customFormat="false" ht="15" hidden="false" customHeight="false" outlineLevel="0" collapsed="false">
      <c r="A4" s="17" t="s">
        <v>253</v>
      </c>
      <c r="B4" s="17" t="s">
        <v>254</v>
      </c>
      <c r="C4" s="17" t="s">
        <v>255</v>
      </c>
      <c r="D4" s="17" t="s">
        <v>256</v>
      </c>
      <c r="E4" s="17" t="s">
        <v>65</v>
      </c>
      <c r="F4" s="17" t="s">
        <v>257</v>
      </c>
    </row>
    <row r="5" customFormat="false" ht="15" hidden="false" customHeight="false" outlineLevel="0" collapsed="false">
      <c r="A5" s="5" t="s">
        <v>258</v>
      </c>
      <c r="B5" s="14" t="n">
        <f aca="false">Inputs!$B$18*Inputs!$B$16/12</f>
        <v>43333.3333333333</v>
      </c>
      <c r="C5" s="14" t="n">
        <f aca="false">Inputs!$B$18*Inputs!$B$17/12</f>
        <v>30000</v>
      </c>
      <c r="D5" s="5" t="s">
        <v>259</v>
      </c>
      <c r="E5" s="5" t="s">
        <v>70</v>
      </c>
      <c r="F5" s="5" t="s">
        <v>260</v>
      </c>
    </row>
    <row r="6" customFormat="false" ht="15" hidden="false" customHeight="false" outlineLevel="0" collapsed="false">
      <c r="A6" s="5" t="s">
        <v>261</v>
      </c>
      <c r="B6" s="18" t="n">
        <v>8000</v>
      </c>
      <c r="C6" s="18" t="n">
        <v>0</v>
      </c>
      <c r="D6" s="5" t="s">
        <v>262</v>
      </c>
      <c r="E6" s="5" t="s">
        <v>74</v>
      </c>
      <c r="F6" s="5"/>
    </row>
    <row r="7" customFormat="false" ht="15" hidden="false" customHeight="false" outlineLevel="0" collapsed="false">
      <c r="A7" s="5" t="s">
        <v>263</v>
      </c>
      <c r="B7" s="14" t="n">
        <f aca="false">Inputs!$B$11*(1+Inputs!$B$13)*Inputs!$B$12</f>
        <v>23928.96</v>
      </c>
      <c r="C7" s="18" t="n">
        <v>0</v>
      </c>
      <c r="D7" s="5" t="s">
        <v>264</v>
      </c>
      <c r="E7" s="5" t="s">
        <v>89</v>
      </c>
      <c r="F7" s="5" t="s">
        <v>265</v>
      </c>
    </row>
    <row r="8" customFormat="false" ht="23.85" hidden="false" customHeight="false" outlineLevel="0" collapsed="false">
      <c r="A8" s="5" t="s">
        <v>266</v>
      </c>
      <c r="B8" s="18" t="n">
        <v>15000</v>
      </c>
      <c r="C8" s="18" t="n">
        <v>10000</v>
      </c>
      <c r="D8" s="5" t="s">
        <v>267</v>
      </c>
      <c r="E8" s="5" t="s">
        <v>74</v>
      </c>
      <c r="F8" s="5"/>
    </row>
    <row r="9" customFormat="false" ht="15" hidden="false" customHeight="false" outlineLevel="0" collapsed="false">
      <c r="A9" s="5" t="s">
        <v>268</v>
      </c>
      <c r="B9" s="18" t="n">
        <v>32000</v>
      </c>
      <c r="C9" s="18" t="n">
        <v>27000</v>
      </c>
      <c r="D9" s="5" t="s">
        <v>269</v>
      </c>
      <c r="E9" s="5" t="s">
        <v>74</v>
      </c>
      <c r="F9" s="5" t="s">
        <v>270</v>
      </c>
    </row>
    <row r="10" customFormat="false" ht="15" hidden="false" customHeight="false" outlineLevel="0" collapsed="false">
      <c r="A10" s="5" t="s">
        <v>271</v>
      </c>
      <c r="B10" s="18" t="n">
        <v>5000</v>
      </c>
      <c r="C10" s="18" t="n">
        <v>4000</v>
      </c>
      <c r="D10" s="5" t="s">
        <v>272</v>
      </c>
      <c r="E10" s="5" t="s">
        <v>74</v>
      </c>
      <c r="F10" s="5"/>
    </row>
    <row r="11" customFormat="false" ht="15" hidden="false" customHeight="false" outlineLevel="0" collapsed="false">
      <c r="A11" s="5" t="s">
        <v>273</v>
      </c>
      <c r="B11" s="18" t="n">
        <v>10000</v>
      </c>
      <c r="C11" s="18" t="n">
        <v>10000</v>
      </c>
      <c r="D11" s="5" t="s">
        <v>274</v>
      </c>
      <c r="E11" s="5" t="s">
        <v>74</v>
      </c>
      <c r="F11" s="5"/>
    </row>
    <row r="12" customFormat="false" ht="15" hidden="false" customHeight="false" outlineLevel="0" collapsed="false">
      <c r="A12" s="5" t="s">
        <v>275</v>
      </c>
      <c r="B12" s="14" t="n">
        <f aca="false">Inputs!$B$11*Inputs!$B$22</f>
        <v>7260</v>
      </c>
      <c r="C12" s="14" t="n">
        <f aca="false">Inputs!$B$11*Inputs!$B$22</f>
        <v>7260</v>
      </c>
      <c r="D12" s="5" t="s">
        <v>276</v>
      </c>
      <c r="E12" s="5" t="s">
        <v>74</v>
      </c>
      <c r="F12" s="5"/>
    </row>
    <row r="13" customFormat="false" ht="15" hidden="false" customHeight="false" outlineLevel="0" collapsed="false">
      <c r="A13" s="5" t="s">
        <v>277</v>
      </c>
      <c r="B13" s="18" t="n">
        <v>6000</v>
      </c>
      <c r="C13" s="18" t="n">
        <v>6000</v>
      </c>
      <c r="D13" s="5" t="s">
        <v>278</v>
      </c>
      <c r="E13" s="5" t="s">
        <v>74</v>
      </c>
      <c r="F13" s="5"/>
    </row>
    <row r="14" customFormat="false" ht="15" hidden="false" customHeight="false" outlineLevel="0" collapsed="false">
      <c r="A14" s="5" t="s">
        <v>279</v>
      </c>
      <c r="B14" s="14" t="n">
        <f aca="false">Inputs!$B$23/Inputs!$B$24*Inputs!$B$16/12</f>
        <v>5416.66666666667</v>
      </c>
      <c r="C14" s="14" t="n">
        <f aca="false">Inputs!$B$23/Inputs!$B$24*Inputs!$B$17/12</f>
        <v>3750</v>
      </c>
      <c r="D14" s="5" t="s">
        <v>280</v>
      </c>
      <c r="E14" s="5" t="s">
        <v>70</v>
      </c>
      <c r="F14" s="5" t="s">
        <v>281</v>
      </c>
    </row>
    <row r="15" customFormat="false" ht="15" hidden="false" customHeight="false" outlineLevel="0" collapsed="false">
      <c r="A15" s="5" t="s">
        <v>282</v>
      </c>
      <c r="B15" s="18" t="n">
        <v>4000</v>
      </c>
      <c r="C15" s="18" t="n">
        <v>3000</v>
      </c>
      <c r="D15" s="5" t="s">
        <v>283</v>
      </c>
      <c r="E15" s="5" t="s">
        <v>74</v>
      </c>
      <c r="F15" s="5"/>
    </row>
    <row r="16" customFormat="false" ht="15" hidden="false" customHeight="false" outlineLevel="0" collapsed="false">
      <c r="A16" s="5" t="s">
        <v>284</v>
      </c>
      <c r="B16" s="14" t="n">
        <f aca="false">Inputs!$B$20*Inputs!$B$19</f>
        <v>40000</v>
      </c>
      <c r="C16" s="14" t="n">
        <f aca="false">Inputs!$B$21*Inputs!$B$19</f>
        <v>32500</v>
      </c>
      <c r="D16" s="5" t="s">
        <v>285</v>
      </c>
      <c r="E16" s="5" t="s">
        <v>89</v>
      </c>
      <c r="F16" s="5" t="s">
        <v>286</v>
      </c>
    </row>
    <row r="17" customFormat="false" ht="15" hidden="false" customHeight="false" outlineLevel="0" collapsed="false">
      <c r="A17" s="5" t="s">
        <v>287</v>
      </c>
      <c r="B17" s="29"/>
      <c r="C17" s="29"/>
      <c r="D17" s="5" t="s">
        <v>288</v>
      </c>
      <c r="E17" s="5" t="s">
        <v>218</v>
      </c>
      <c r="F17" s="5" t="s">
        <v>289</v>
      </c>
    </row>
    <row r="18" customFormat="false" ht="15" hidden="false" customHeight="false" outlineLevel="0" collapsed="false">
      <c r="A18" s="5" t="s">
        <v>290</v>
      </c>
      <c r="B18" s="14" t="n">
        <f aca="false">SUM(B5:B17)*Inputs!$B$25*0.5*Inputs!$B$16/12</f>
        <v>7581.0189</v>
      </c>
      <c r="C18" s="14" t="n">
        <f aca="false">SUM(C5:C17)*Inputs!$B$25*0.5*Inputs!$B$17/12</f>
        <v>3504.6375</v>
      </c>
      <c r="D18" s="5" t="s">
        <v>291</v>
      </c>
      <c r="E18" s="5" t="s">
        <v>89</v>
      </c>
      <c r="F18" s="5"/>
    </row>
    <row r="19" customFormat="false" ht="15" hidden="false" customHeight="false" outlineLevel="0" collapsed="false">
      <c r="A19" s="9" t="s">
        <v>292</v>
      </c>
      <c r="B19" s="30" t="n">
        <f aca="false">SUM(B5:B18)</f>
        <v>207519.9789</v>
      </c>
      <c r="C19" s="30" t="n">
        <f aca="false">SUM(C5:C18)</f>
        <v>137014.6375</v>
      </c>
    </row>
    <row r="20" customFormat="false" ht="15" hidden="false" customHeight="false" outlineLevel="0" collapsed="false">
      <c r="A20" s="5" t="s">
        <v>293</v>
      </c>
      <c r="B20" s="7" t="n">
        <f aca="false">Inputs!$B$14</f>
        <v>28</v>
      </c>
      <c r="C20" s="7" t="n">
        <f aca="false">Inputs!$B$15</f>
        <v>20</v>
      </c>
    </row>
    <row r="21" customFormat="false" ht="15" hidden="false" customHeight="false" outlineLevel="0" collapsed="false">
      <c r="A21" s="9" t="s">
        <v>294</v>
      </c>
      <c r="B21" s="31" t="n">
        <f aca="false">B19/(B20*1000)</f>
        <v>7.41142781785714</v>
      </c>
      <c r="C21" s="31" t="n">
        <f aca="false">C19/(C20*1000)</f>
        <v>6.850731875</v>
      </c>
    </row>
    <row r="23" customFormat="false" ht="15" hidden="false" customHeight="false" outlineLevel="0" collapsed="false">
      <c r="A23" s="3" t="s">
        <v>295</v>
      </c>
      <c r="B23" s="4"/>
      <c r="C23" s="4"/>
      <c r="D23" s="4"/>
      <c r="E23" s="4"/>
      <c r="F23" s="4"/>
    </row>
    <row r="24" customFormat="false" ht="15" hidden="false" customHeight="false" outlineLevel="0" collapsed="false">
      <c r="A24" s="5" t="s">
        <v>296</v>
      </c>
      <c r="B24" s="6" t="n">
        <f aca="false">Inputs!$B$16+Inputs!$B$17</f>
        <v>22</v>
      </c>
    </row>
    <row r="25" customFormat="false" ht="15" hidden="false" customHeight="false" outlineLevel="0" collapsed="false">
      <c r="A25" s="5" t="s">
        <v>297</v>
      </c>
      <c r="B25" s="32" t="n">
        <f aca="false">(B19+C19)/B24*12</f>
        <v>187927.972581818</v>
      </c>
    </row>
    <row r="26" customFormat="false" ht="15" hidden="false" customHeight="false" outlineLevel="0" collapsed="false">
      <c r="A26" s="5" t="s">
        <v>298</v>
      </c>
      <c r="B26" s="14" t="n">
        <f aca="false">B25*Inputs!$B$10</f>
        <v>28189195.8872727</v>
      </c>
    </row>
    <row r="28" customFormat="false" ht="15" hidden="false" customHeight="false" outlineLevel="0" collapsed="false">
      <c r="A28" s="3" t="s">
        <v>299</v>
      </c>
      <c r="B28" s="4"/>
      <c r="C28" s="4"/>
      <c r="D28" s="4"/>
      <c r="E28" s="4"/>
      <c r="F28" s="4"/>
    </row>
    <row r="29" customFormat="false" ht="15" hidden="false" customHeight="false" outlineLevel="0" collapsed="false">
      <c r="A29" s="8" t="s">
        <v>300</v>
      </c>
      <c r="B29" s="8" t="s">
        <v>301</v>
      </c>
      <c r="C29" s="8" t="s">
        <v>302</v>
      </c>
      <c r="D29" s="8" t="s">
        <v>303</v>
      </c>
      <c r="E29" s="8" t="s">
        <v>65</v>
      </c>
      <c r="F29" s="8" t="s">
        <v>304</v>
      </c>
    </row>
    <row r="30" customFormat="false" ht="15" hidden="false" customHeight="false" outlineLevel="0" collapsed="false">
      <c r="A30" s="5" t="s">
        <v>305</v>
      </c>
      <c r="B30" s="19" t="n">
        <v>1</v>
      </c>
      <c r="C30" s="18" t="n">
        <v>50000</v>
      </c>
      <c r="D30" s="14" t="n">
        <f aca="false">B30*C30*12*(1+Inputs!$B$46)</f>
        <v>678000</v>
      </c>
      <c r="E30" s="5" t="s">
        <v>74</v>
      </c>
      <c r="F30" s="5"/>
    </row>
    <row r="31" customFormat="false" ht="15" hidden="false" customHeight="false" outlineLevel="0" collapsed="false">
      <c r="A31" s="5" t="s">
        <v>306</v>
      </c>
      <c r="B31" s="19" t="n">
        <v>3</v>
      </c>
      <c r="C31" s="18" t="n">
        <v>25000</v>
      </c>
      <c r="D31" s="14" t="n">
        <f aca="false">B31*C31*12*(1+Inputs!$B$46)</f>
        <v>1017000</v>
      </c>
      <c r="E31" s="5" t="s">
        <v>74</v>
      </c>
      <c r="F31" s="5"/>
    </row>
    <row r="32" customFormat="false" ht="15" hidden="false" customHeight="false" outlineLevel="0" collapsed="false">
      <c r="A32" s="5" t="s">
        <v>307</v>
      </c>
      <c r="B32" s="19" t="n">
        <v>1</v>
      </c>
      <c r="C32" s="18" t="n">
        <v>25000</v>
      </c>
      <c r="D32" s="32" t="n">
        <f aca="false">B32*C32*12</f>
        <v>300000</v>
      </c>
      <c r="E32" s="5" t="s">
        <v>74</v>
      </c>
      <c r="F32" s="5"/>
    </row>
    <row r="33" customFormat="false" ht="15" hidden="false" customHeight="false" outlineLevel="0" collapsed="false">
      <c r="A33" s="9" t="s">
        <v>308</v>
      </c>
      <c r="D33" s="33" t="n">
        <f aca="false">SUM(D30:D32)</f>
        <v>1995000</v>
      </c>
    </row>
    <row r="35" customFormat="false" ht="15" hidden="false" customHeight="false" outlineLevel="0" collapsed="false">
      <c r="A35" s="3" t="s">
        <v>309</v>
      </c>
      <c r="B35" s="4"/>
      <c r="C35" s="4"/>
      <c r="D35" s="4"/>
      <c r="E35" s="4"/>
      <c r="F35" s="4"/>
    </row>
    <row r="36" customFormat="false" ht="15" hidden="false" customHeight="false" outlineLevel="0" collapsed="false">
      <c r="A36" s="9" t="s">
        <v>310</v>
      </c>
      <c r="B36" s="30" t="n">
        <f aca="false">B26+D33</f>
        <v>30184195.8872727</v>
      </c>
    </row>
    <row r="37" customFormat="false" ht="15" hidden="false" customHeight="false" outlineLevel="0" collapsed="false">
      <c r="A37" s="5" t="s">
        <v>3</v>
      </c>
      <c r="B37" s="6" t="n">
        <f aca="false">'Volumes &amp; Seasonality'!$B$7</f>
        <v>3927.27272727273</v>
      </c>
    </row>
    <row r="38" customFormat="false" ht="15" hidden="false" customHeight="false" outlineLevel="0" collapsed="false">
      <c r="A38" s="9" t="s">
        <v>311</v>
      </c>
      <c r="B38" s="31" t="n">
        <f aca="false">B36/(B37*1000)</f>
        <v>7.68579061944445</v>
      </c>
    </row>
    <row r="39" customFormat="false" ht="15" hidden="false" customHeight="false" outlineLevel="0" collapsed="false">
      <c r="A39" s="9" t="s">
        <v>312</v>
      </c>
      <c r="B39" s="12" t="n">
        <f aca="false">B36/('Volumes &amp; Seasonality'!$B$13*1000)</f>
        <v>9.42371149297978</v>
      </c>
    </row>
    <row r="41" customFormat="false" ht="15" hidden="false" customHeight="false" outlineLevel="0" collapsed="false">
      <c r="A41" s="3" t="s">
        <v>313</v>
      </c>
      <c r="B41" s="4"/>
      <c r="C41" s="4"/>
      <c r="D41" s="4"/>
      <c r="E41" s="4"/>
      <c r="F41" s="4"/>
    </row>
    <row r="42" customFormat="false" ht="15" hidden="false" customHeight="false" outlineLevel="0" collapsed="false">
      <c r="A42" s="5" t="s">
        <v>314</v>
      </c>
      <c r="B42" s="22" t="n">
        <v>15</v>
      </c>
      <c r="D42" s="5" t="s">
        <v>315</v>
      </c>
      <c r="E42" s="5" t="s">
        <v>82</v>
      </c>
    </row>
    <row r="43" customFormat="false" ht="15" hidden="false" customHeight="false" outlineLevel="0" collapsed="false">
      <c r="A43" s="5" t="s">
        <v>316</v>
      </c>
      <c r="B43" s="34" t="n">
        <f aca="false">B42-B38</f>
        <v>7.31420938055556</v>
      </c>
    </row>
    <row r="44" customFormat="false" ht="15" hidden="false" customHeight="false" outlineLevel="0" collapsed="false">
      <c r="A44" s="5" t="s">
        <v>317</v>
      </c>
      <c r="B44" s="32" t="n">
        <f aca="false">B43*B37*1000</f>
        <v>28724895.0218182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318</v>
      </c>
    </row>
    <row r="2" customFormat="false" ht="15" hidden="false" customHeight="false" outlineLevel="0" collapsed="false">
      <c r="A2" s="2" t="s">
        <v>319</v>
      </c>
    </row>
    <row r="4" customFormat="false" ht="15" hidden="false" customHeight="false" outlineLevel="0" collapsed="false">
      <c r="A4" s="17" t="s">
        <v>320</v>
      </c>
      <c r="B4" s="17" t="s">
        <v>61</v>
      </c>
      <c r="C4" s="17" t="s">
        <v>62</v>
      </c>
      <c r="D4" s="17" t="s">
        <v>321</v>
      </c>
    </row>
    <row r="5" customFormat="false" ht="15" hidden="false" customHeight="false" outlineLevel="0" collapsed="false">
      <c r="A5" s="3" t="s">
        <v>322</v>
      </c>
      <c r="B5" s="4"/>
      <c r="C5" s="4"/>
      <c r="D5" s="4"/>
    </row>
    <row r="6" customFormat="false" ht="15" hidden="false" customHeight="false" outlineLevel="0" collapsed="false">
      <c r="A6" s="5" t="s">
        <v>323</v>
      </c>
      <c r="B6" s="35" t="n">
        <f aca="false">24/(Inputs!$B$16+Inputs!$B$17)</f>
        <v>1.09090909090909</v>
      </c>
      <c r="C6" s="5" t="s">
        <v>324</v>
      </c>
      <c r="D6" s="5" t="s">
        <v>325</v>
      </c>
    </row>
    <row r="7" customFormat="false" ht="15" hidden="false" customHeight="false" outlineLevel="0" collapsed="false">
      <c r="A7" s="9" t="s">
        <v>326</v>
      </c>
      <c r="B7" s="36" t="n">
        <f aca="false">Inputs!$B$10*(Inputs!$B$14+Inputs!$B$15)/(Inputs!$B$16+Inputs!$B$17)*12</f>
        <v>3927.27272727273</v>
      </c>
      <c r="C7" s="5" t="s">
        <v>327</v>
      </c>
      <c r="D7" s="5" t="s">
        <v>328</v>
      </c>
    </row>
    <row r="8" customFormat="false" ht="15" hidden="false" customHeight="false" outlineLevel="0" collapsed="false">
      <c r="A8" s="5" t="s">
        <v>329</v>
      </c>
      <c r="B8" s="6" t="n">
        <f aca="false">B7*Inputs!$B$27</f>
        <v>314.181818181818</v>
      </c>
      <c r="C8" s="5" t="s">
        <v>327</v>
      </c>
      <c r="D8" s="5"/>
    </row>
    <row r="9" customFormat="false" ht="15" hidden="false" customHeight="false" outlineLevel="0" collapsed="false">
      <c r="A9" s="5" t="s">
        <v>330</v>
      </c>
      <c r="B9" s="37" t="n">
        <f aca="false">B7-B8</f>
        <v>3613.09090909091</v>
      </c>
      <c r="C9" s="5" t="s">
        <v>327</v>
      </c>
      <c r="D9" s="5"/>
    </row>
    <row r="10" customFormat="false" ht="15" hidden="false" customHeight="false" outlineLevel="0" collapsed="false">
      <c r="A10" s="5" t="s">
        <v>331</v>
      </c>
      <c r="B10" s="6" t="n">
        <f aca="false">B9*Inputs!$B$28</f>
        <v>361.309090909091</v>
      </c>
      <c r="C10" s="5" t="s">
        <v>327</v>
      </c>
      <c r="D10" s="5" t="s">
        <v>332</v>
      </c>
    </row>
    <row r="11" customFormat="false" ht="15" hidden="false" customHeight="false" outlineLevel="0" collapsed="false">
      <c r="A11" s="5" t="s">
        <v>333</v>
      </c>
      <c r="B11" s="37" t="n">
        <f aca="false">B9-B10</f>
        <v>3251.78181818182</v>
      </c>
      <c r="C11" s="5" t="s">
        <v>327</v>
      </c>
      <c r="D11" s="5"/>
    </row>
    <row r="12" customFormat="false" ht="15" hidden="false" customHeight="false" outlineLevel="0" collapsed="false">
      <c r="A12" s="5" t="s">
        <v>334</v>
      </c>
      <c r="B12" s="6" t="n">
        <f aca="false">B11*Inputs!$B$29</f>
        <v>48.7767272727273</v>
      </c>
      <c r="C12" s="5" t="s">
        <v>327</v>
      </c>
      <c r="D12" s="5"/>
    </row>
    <row r="13" customFormat="false" ht="15" hidden="false" customHeight="false" outlineLevel="0" collapsed="false">
      <c r="A13" s="9" t="s">
        <v>335</v>
      </c>
      <c r="B13" s="38" t="n">
        <f aca="false">B11-B12</f>
        <v>3203.00509090909</v>
      </c>
      <c r="C13" s="5" t="s">
        <v>327</v>
      </c>
      <c r="D13" s="5" t="s">
        <v>336</v>
      </c>
    </row>
    <row r="14" customFormat="false" ht="15" hidden="false" customHeight="false" outlineLevel="0" collapsed="false">
      <c r="A14" s="5" t="s">
        <v>337</v>
      </c>
      <c r="B14" s="6" t="n">
        <f aca="false">B13*Inputs!$B$30</f>
        <v>800.751272727273</v>
      </c>
      <c r="C14" s="5" t="s">
        <v>327</v>
      </c>
      <c r="D14" s="5"/>
    </row>
    <row r="15" customFormat="false" ht="15" hidden="false" customHeight="false" outlineLevel="0" collapsed="false">
      <c r="A15" s="5" t="s">
        <v>338</v>
      </c>
      <c r="B15" s="37" t="n">
        <f aca="false">B13-B14</f>
        <v>2402.25381818182</v>
      </c>
      <c r="C15" s="5" t="s">
        <v>327</v>
      </c>
      <c r="D15" s="5"/>
    </row>
    <row r="16" customFormat="false" ht="15" hidden="false" customHeight="false" outlineLevel="0" collapsed="false">
      <c r="A16" s="5" t="s">
        <v>339</v>
      </c>
      <c r="B16" s="6" t="n">
        <f aca="false">B14*1000/Inputs!$B$31</f>
        <v>61596.2517482517</v>
      </c>
      <c r="C16" s="5" t="s">
        <v>340</v>
      </c>
      <c r="D16" s="5"/>
    </row>
    <row r="17" customFormat="false" ht="15" hidden="false" customHeight="false" outlineLevel="0" collapsed="false">
      <c r="A17" s="5" t="s">
        <v>341</v>
      </c>
      <c r="B17" s="6" t="n">
        <f aca="false">B15*1000/Inputs!$B$31</f>
        <v>184788.755244755</v>
      </c>
      <c r="C17" s="5" t="s">
        <v>340</v>
      </c>
      <c r="D17" s="5"/>
    </row>
    <row r="18" customFormat="false" ht="15" hidden="false" customHeight="false" outlineLevel="0" collapsed="false">
      <c r="A18" s="5" t="s">
        <v>342</v>
      </c>
      <c r="B18" s="7" t="n">
        <f aca="false">B16/Inputs!$B$32</f>
        <v>39.9975660702933</v>
      </c>
      <c r="C18" s="5" t="s">
        <v>343</v>
      </c>
      <c r="D18" s="5"/>
    </row>
    <row r="19" customFormat="false" ht="15" hidden="false" customHeight="false" outlineLevel="0" collapsed="false">
      <c r="A19" s="5" t="s">
        <v>344</v>
      </c>
      <c r="B19" s="15" t="n">
        <f aca="false">B18/12</f>
        <v>3.33313050585778</v>
      </c>
      <c r="C19" s="5" t="s">
        <v>345</v>
      </c>
      <c r="D19" s="5"/>
    </row>
    <row r="20" customFormat="false" ht="15" hidden="false" customHeight="false" outlineLevel="0" collapsed="false">
      <c r="A20" s="5" t="s">
        <v>346</v>
      </c>
      <c r="B20" s="6" t="n">
        <f aca="false">B15*1000/Inputs!$B$70</f>
        <v>266.917090909091</v>
      </c>
      <c r="C20" s="5" t="s">
        <v>8</v>
      </c>
      <c r="D20" s="5"/>
    </row>
    <row r="21" customFormat="false" ht="15" hidden="false" customHeight="false" outlineLevel="0" collapsed="false">
      <c r="A21" s="5" t="s">
        <v>347</v>
      </c>
      <c r="B21" s="6" t="n">
        <f aca="false">Inputs!$B$10*Inputs!$B$11*Inputs!$B$33*B6/1000</f>
        <v>7128</v>
      </c>
      <c r="C21" s="5" t="s">
        <v>327</v>
      </c>
      <c r="D21" s="5" t="s">
        <v>348</v>
      </c>
    </row>
    <row r="22" customFormat="false" ht="15" hidden="false" customHeight="false" outlineLevel="0" collapsed="false">
      <c r="A22" s="5" t="s">
        <v>349</v>
      </c>
      <c r="B22" s="39" t="n">
        <f aca="false">B13/B7</f>
        <v>0.81558</v>
      </c>
      <c r="C22" s="5" t="s">
        <v>137</v>
      </c>
      <c r="D22" s="5"/>
    </row>
    <row r="24" customFormat="false" ht="15" hidden="false" customHeight="false" outlineLevel="0" collapsed="false">
      <c r="A24" s="3" t="s">
        <v>350</v>
      </c>
      <c r="B24" s="4"/>
      <c r="C24" s="4"/>
      <c r="D24" s="4"/>
    </row>
    <row r="25" customFormat="false" ht="15" hidden="false" customHeight="false" outlineLevel="0" collapsed="false">
      <c r="A25" s="5" t="s">
        <v>351</v>
      </c>
      <c r="B25" s="7" t="n">
        <f aca="false">B7/Inputs!$B$7</f>
        <v>13.0909090909091</v>
      </c>
      <c r="C25" s="5" t="s">
        <v>150</v>
      </c>
      <c r="D25" s="5"/>
    </row>
    <row r="26" customFormat="false" ht="15" hidden="false" customHeight="false" outlineLevel="0" collapsed="false">
      <c r="A26" s="5" t="s">
        <v>352</v>
      </c>
      <c r="B26" s="7" t="n">
        <f aca="false">B25*Inputs!$B$8</f>
        <v>19.6363636363636</v>
      </c>
      <c r="C26" s="5" t="s">
        <v>150</v>
      </c>
      <c r="D26" s="5" t="s">
        <v>353</v>
      </c>
    </row>
    <row r="27" customFormat="false" ht="15" hidden="false" customHeight="false" outlineLevel="0" collapsed="false">
      <c r="A27" s="5" t="s">
        <v>354</v>
      </c>
      <c r="B27" s="15" t="n">
        <f aca="false">B26*B13/B7</f>
        <v>16.0150254545455</v>
      </c>
      <c r="C27" s="5" t="s">
        <v>150</v>
      </c>
      <c r="D27" s="5" t="s">
        <v>355</v>
      </c>
    </row>
    <row r="28" customFormat="false" ht="15" hidden="false" customHeight="false" outlineLevel="0" collapsed="false">
      <c r="A28" s="5" t="s">
        <v>356</v>
      </c>
      <c r="B28" s="37" t="n">
        <f aca="false">B27*3</f>
        <v>48.0450763636364</v>
      </c>
      <c r="C28" s="5" t="s">
        <v>357</v>
      </c>
      <c r="D28" s="5" t="s">
        <v>358</v>
      </c>
    </row>
    <row r="29" customFormat="false" ht="15" hidden="false" customHeight="false" outlineLevel="0" collapsed="false">
      <c r="A29" s="5" t="s">
        <v>359</v>
      </c>
      <c r="B29" s="6" t="n">
        <f aca="false">B7/Inputs!$B$35</f>
        <v>302.097902097902</v>
      </c>
      <c r="C29" s="5" t="s">
        <v>360</v>
      </c>
      <c r="D29" s="5" t="s">
        <v>361</v>
      </c>
    </row>
    <row r="31" customFormat="false" ht="15" hidden="false" customHeight="false" outlineLevel="0" collapsed="false">
      <c r="A31" s="3" t="s">
        <v>362</v>
      </c>
      <c r="B31" s="4"/>
      <c r="C31" s="4"/>
      <c r="D31" s="4"/>
    </row>
    <row r="32" customFormat="false" ht="23.85" hidden="false" customHeight="false" outlineLevel="0" collapsed="false">
      <c r="A32" s="5" t="s">
        <v>363</v>
      </c>
      <c r="B32" s="19" t="n">
        <v>60</v>
      </c>
      <c r="C32" s="5" t="s">
        <v>73</v>
      </c>
      <c r="D32" s="5" t="s">
        <v>364</v>
      </c>
    </row>
    <row r="33" customFormat="false" ht="15" hidden="false" customHeight="false" outlineLevel="0" collapsed="false">
      <c r="A33" s="5" t="s">
        <v>365</v>
      </c>
      <c r="B33" s="19" t="n">
        <v>6</v>
      </c>
      <c r="C33" s="5" t="s">
        <v>366</v>
      </c>
      <c r="D33" s="5" t="s">
        <v>367</v>
      </c>
    </row>
    <row r="34" customFormat="false" ht="15" hidden="false" customHeight="false" outlineLevel="0" collapsed="false">
      <c r="A34" s="5" t="s">
        <v>368</v>
      </c>
      <c r="B34" s="19" t="n">
        <v>2</v>
      </c>
      <c r="C34" s="5" t="s">
        <v>100</v>
      </c>
    </row>
    <row r="35" customFormat="false" ht="15" hidden="false" customHeight="false" outlineLevel="0" collapsed="false">
      <c r="A35" s="5" t="s">
        <v>369</v>
      </c>
      <c r="B35" s="19" t="n">
        <v>6</v>
      </c>
      <c r="C35" s="5" t="s">
        <v>370</v>
      </c>
      <c r="D35" s="5" t="s">
        <v>371</v>
      </c>
    </row>
    <row r="36" customFormat="false" ht="15" hidden="false" customHeight="false" outlineLevel="0" collapsed="false">
      <c r="A36" s="5" t="s">
        <v>372</v>
      </c>
      <c r="B36" s="19" t="n">
        <v>11</v>
      </c>
      <c r="C36" s="5" t="s">
        <v>100</v>
      </c>
      <c r="D36" s="5" t="s">
        <v>373</v>
      </c>
    </row>
    <row r="38" customFormat="false" ht="15" hidden="false" customHeight="false" outlineLevel="0" collapsed="false">
      <c r="A38" s="8" t="s">
        <v>374</v>
      </c>
      <c r="B38" s="8" t="s">
        <v>375</v>
      </c>
      <c r="C38" s="8" t="s">
        <v>376</v>
      </c>
      <c r="D38" s="8" t="s">
        <v>377</v>
      </c>
    </row>
    <row r="39" customFormat="false" ht="15" hidden="false" customHeight="false" outlineLevel="0" collapsed="false">
      <c r="A39" s="21" t="n">
        <v>1</v>
      </c>
      <c r="B39" s="7" t="n">
        <f aca="false">IF(A39&lt;=$B$33,Inputs!$B$10/$B$33,0)</f>
        <v>25</v>
      </c>
      <c r="C39" s="40" t="str">
        <f aca="false">IF(A39&lt;=$B$33,TEXT(DATE(2027,MOD($B$35-1+(A39-1)*$B$34,12)+1,1),"mmm"),"-")</f>
        <v>Jun</v>
      </c>
      <c r="D39" s="41" t="str">
        <f aca="false">IF(A39&lt;=$B$33,TEXT(DATE(2027,MOD($B$35-1+(A39-1)*$B$34+$B$36,12)+1,1),"mmm")&amp;" / "&amp;TEXT(DATE(2027,MOD($B$35-1+(A39-1)*$B$34+Inputs!$B$16+Inputs!$B$17-2,12)+1,1),"mmm"),"-")</f>
        <v>May / Feb</v>
      </c>
    </row>
    <row r="40" customFormat="false" ht="15" hidden="false" customHeight="false" outlineLevel="0" collapsed="false">
      <c r="A40" s="21" t="n">
        <v>2</v>
      </c>
      <c r="B40" s="7" t="n">
        <f aca="false">IF(A40&lt;=$B$33,Inputs!$B$10/$B$33,0)</f>
        <v>25</v>
      </c>
      <c r="C40" s="40" t="str">
        <f aca="false">IF(A40&lt;=$B$33,TEXT(DATE(2027,MOD($B$35-1+(A40-1)*$B$34,12)+1,1),"mmm"),"-")</f>
        <v>Aug</v>
      </c>
      <c r="D40" s="41" t="str">
        <f aca="false">IF(A40&lt;=$B$33,TEXT(DATE(2027,MOD($B$35-1+(A40-1)*$B$34+$B$36,12)+1,1),"mmm")&amp;" / "&amp;TEXT(DATE(2027,MOD($B$35-1+(A40-1)*$B$34+Inputs!$B$16+Inputs!$B$17-2,12)+1,1),"mmm"),"-")</f>
        <v>Jul / Apr</v>
      </c>
    </row>
    <row r="41" customFormat="false" ht="15" hidden="false" customHeight="false" outlineLevel="0" collapsed="false">
      <c r="A41" s="21" t="n">
        <v>3</v>
      </c>
      <c r="B41" s="7" t="n">
        <f aca="false">IF(A41&lt;=$B$33,Inputs!$B$10/$B$33,0)</f>
        <v>25</v>
      </c>
      <c r="C41" s="40" t="str">
        <f aca="false">IF(A41&lt;=$B$33,TEXT(DATE(2027,MOD($B$35-1+(A41-1)*$B$34,12)+1,1),"mmm"),"-")</f>
        <v>Oct</v>
      </c>
      <c r="D41" s="41" t="str">
        <f aca="false">IF(A41&lt;=$B$33,TEXT(DATE(2027,MOD($B$35-1+(A41-1)*$B$34+$B$36,12)+1,1),"mmm")&amp;" / "&amp;TEXT(DATE(2027,MOD($B$35-1+(A41-1)*$B$34+Inputs!$B$16+Inputs!$B$17-2,12)+1,1),"mmm"),"-")</f>
        <v>Sep / Jun</v>
      </c>
    </row>
    <row r="42" customFormat="false" ht="15" hidden="false" customHeight="false" outlineLevel="0" collapsed="false">
      <c r="A42" s="21" t="n">
        <v>4</v>
      </c>
      <c r="B42" s="7" t="n">
        <f aca="false">IF(A42&lt;=$B$33,Inputs!$B$10/$B$33,0)</f>
        <v>25</v>
      </c>
      <c r="C42" s="40" t="str">
        <f aca="false">IF(A42&lt;=$B$33,TEXT(DATE(2027,MOD($B$35-1+(A42-1)*$B$34,12)+1,1),"mmm"),"-")</f>
        <v>Dec</v>
      </c>
      <c r="D42" s="41" t="str">
        <f aca="false">IF(A42&lt;=$B$33,TEXT(DATE(2027,MOD($B$35-1+(A42-1)*$B$34+$B$36,12)+1,1),"mmm")&amp;" / "&amp;TEXT(DATE(2027,MOD($B$35-1+(A42-1)*$B$34+Inputs!$B$16+Inputs!$B$17-2,12)+1,1),"mmm"),"-")</f>
        <v>Nov / Aug</v>
      </c>
    </row>
    <row r="43" customFormat="false" ht="15" hidden="false" customHeight="false" outlineLevel="0" collapsed="false">
      <c r="A43" s="21" t="n">
        <v>5</v>
      </c>
      <c r="B43" s="7" t="n">
        <f aca="false">IF(A43&lt;=$B$33,Inputs!$B$10/$B$33,0)</f>
        <v>25</v>
      </c>
      <c r="C43" s="40" t="str">
        <f aca="false">IF(A43&lt;=$B$33,TEXT(DATE(2027,MOD($B$35-1+(A43-1)*$B$34,12)+1,1),"mmm"),"-")</f>
        <v>Feb</v>
      </c>
      <c r="D43" s="41" t="str">
        <f aca="false">IF(A43&lt;=$B$33,TEXT(DATE(2027,MOD($B$35-1+(A43-1)*$B$34+$B$36,12)+1,1),"mmm")&amp;" / "&amp;TEXT(DATE(2027,MOD($B$35-1+(A43-1)*$B$34+Inputs!$B$16+Inputs!$B$17-2,12)+1,1),"mmm"),"-")</f>
        <v>Jan / Oct</v>
      </c>
    </row>
    <row r="44" customFormat="false" ht="15" hidden="false" customHeight="false" outlineLevel="0" collapsed="false">
      <c r="A44" s="21" t="n">
        <v>6</v>
      </c>
      <c r="B44" s="7" t="n">
        <f aca="false">IF(A44&lt;=$B$33,Inputs!$B$10/$B$33,0)</f>
        <v>25</v>
      </c>
      <c r="C44" s="40" t="str">
        <f aca="false">IF(A44&lt;=$B$33,TEXT(DATE(2027,MOD($B$35-1+(A44-1)*$B$34,12)+1,1),"mmm"),"-")</f>
        <v>Apr</v>
      </c>
      <c r="D44" s="41" t="str">
        <f aca="false">IF(A44&lt;=$B$33,TEXT(DATE(2027,MOD($B$35-1+(A44-1)*$B$34+$B$36,12)+1,1),"mmm")&amp;" / "&amp;TEXT(DATE(2027,MOD($B$35-1+(A44-1)*$B$34+Inputs!$B$16+Inputs!$B$17-2,12)+1,1),"mmm"),"-")</f>
        <v>Mar / Dec</v>
      </c>
    </row>
    <row r="46" customFormat="false" ht="23.85" hidden="false" customHeight="false" outlineLevel="0" collapsed="false">
      <c r="A46" s="9" t="s">
        <v>378</v>
      </c>
      <c r="D46" s="5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7" min="5" style="0" width="16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70"/>
  </cols>
  <sheetData>
    <row r="1" customFormat="false" ht="17.35" hidden="false" customHeight="false" outlineLevel="0" collapsed="false">
      <c r="A1" s="1" t="s">
        <v>380</v>
      </c>
    </row>
    <row r="2" customFormat="false" ht="15" hidden="false" customHeight="false" outlineLevel="0" collapsed="false">
      <c r="A2" s="2" t="s">
        <v>381</v>
      </c>
    </row>
    <row r="4" customFormat="false" ht="15" hidden="false" customHeight="false" outlineLevel="0" collapsed="false">
      <c r="A4" s="17" t="s">
        <v>320</v>
      </c>
      <c r="B4" s="17" t="s">
        <v>382</v>
      </c>
      <c r="C4" s="17" t="s">
        <v>62</v>
      </c>
      <c r="D4" s="17" t="s">
        <v>383</v>
      </c>
      <c r="E4" s="17" t="s">
        <v>384</v>
      </c>
      <c r="F4" s="17" t="s">
        <v>385</v>
      </c>
      <c r="G4" s="17" t="s">
        <v>386</v>
      </c>
      <c r="H4" s="17" t="s">
        <v>387</v>
      </c>
      <c r="I4" s="17" t="s">
        <v>388</v>
      </c>
      <c r="J4" s="17" t="s">
        <v>389</v>
      </c>
      <c r="K4" s="17" t="s">
        <v>65</v>
      </c>
      <c r="L4" s="17" t="s">
        <v>257</v>
      </c>
    </row>
    <row r="5" customFormat="false" ht="15" hidden="false" customHeight="false" outlineLevel="0" collapsed="false">
      <c r="A5" s="5" t="s">
        <v>390</v>
      </c>
      <c r="B5" s="19" t="n">
        <v>1</v>
      </c>
      <c r="C5" s="5" t="s">
        <v>391</v>
      </c>
      <c r="D5" s="18" t="n">
        <v>1000000</v>
      </c>
      <c r="E5" s="32" t="n">
        <f aca="false">B5*D5</f>
        <v>1000000</v>
      </c>
      <c r="F5" s="5" t="s">
        <v>392</v>
      </c>
      <c r="G5" s="32" t="n">
        <f aca="false">IF(ISNUMBER(F5),MIN(E5,F5),0)</f>
        <v>0</v>
      </c>
      <c r="H5" s="14" t="n">
        <f aca="false">G5*Inputs!$B$80</f>
        <v>0</v>
      </c>
      <c r="I5" s="19" t="n">
        <v>20</v>
      </c>
      <c r="J5" s="32" t="n">
        <f aca="false">E5/I5</f>
        <v>50000</v>
      </c>
      <c r="K5" s="5" t="s">
        <v>74</v>
      </c>
      <c r="L5" s="5" t="s">
        <v>393</v>
      </c>
    </row>
    <row r="6" customFormat="false" ht="23.85" hidden="false" customHeight="false" outlineLevel="0" collapsed="false">
      <c r="A6" s="5" t="s">
        <v>394</v>
      </c>
      <c r="B6" s="19" t="n">
        <v>1</v>
      </c>
      <c r="C6" s="5" t="s">
        <v>395</v>
      </c>
      <c r="D6" s="18" t="n">
        <v>9000000</v>
      </c>
      <c r="E6" s="32" t="n">
        <f aca="false">B6*D6</f>
        <v>9000000</v>
      </c>
      <c r="F6" s="18" t="n">
        <f aca="false">B6*5000000</f>
        <v>5000000</v>
      </c>
      <c r="G6" s="32" t="n">
        <f aca="false">IF(ISNUMBER(F6),MIN(E6,F6),0)</f>
        <v>5000000</v>
      </c>
      <c r="H6" s="14" t="n">
        <f aca="false">G6*Inputs!$B$80</f>
        <v>1750000</v>
      </c>
      <c r="I6" s="19" t="n">
        <v>15</v>
      </c>
      <c r="J6" s="32" t="n">
        <f aca="false">E6/I6</f>
        <v>600000</v>
      </c>
      <c r="K6" s="5" t="s">
        <v>70</v>
      </c>
      <c r="L6" s="5" t="s">
        <v>396</v>
      </c>
    </row>
    <row r="7" customFormat="false" ht="15" hidden="false" customHeight="false" outlineLevel="0" collapsed="false">
      <c r="A7" s="5" t="s">
        <v>397</v>
      </c>
      <c r="B7" s="19" t="n">
        <v>2</v>
      </c>
      <c r="C7" s="5" t="s">
        <v>395</v>
      </c>
      <c r="D7" s="18" t="n">
        <v>3000000</v>
      </c>
      <c r="E7" s="32" t="n">
        <f aca="false">B7*D7</f>
        <v>6000000</v>
      </c>
      <c r="F7" s="18" t="n">
        <f aca="false">B7*2500000</f>
        <v>5000000</v>
      </c>
      <c r="G7" s="32" t="n">
        <f aca="false">IF(ISNUMBER(F7),MIN(E7,F7),0)</f>
        <v>5000000</v>
      </c>
      <c r="H7" s="14" t="n">
        <f aca="false">G7*Inputs!$B$80</f>
        <v>1750000</v>
      </c>
      <c r="I7" s="19" t="n">
        <v>10</v>
      </c>
      <c r="J7" s="32" t="n">
        <f aca="false">E7/I7</f>
        <v>600000</v>
      </c>
      <c r="K7" s="5" t="s">
        <v>89</v>
      </c>
      <c r="L7" s="5" t="s">
        <v>398</v>
      </c>
    </row>
    <row r="8" customFormat="false" ht="23.85" hidden="false" customHeight="false" outlineLevel="0" collapsed="false">
      <c r="A8" s="5" t="s">
        <v>399</v>
      </c>
      <c r="B8" s="19" t="n">
        <v>100</v>
      </c>
      <c r="C8" s="5" t="s">
        <v>400</v>
      </c>
      <c r="D8" s="18" t="n">
        <v>22000</v>
      </c>
      <c r="E8" s="32" t="n">
        <f aca="false">B8*D8</f>
        <v>2200000</v>
      </c>
      <c r="F8" s="18" t="n">
        <f aca="false">B8*8000</f>
        <v>800000</v>
      </c>
      <c r="G8" s="32" t="n">
        <f aca="false">IF(ISNUMBER(F8),MIN(E8,F8),0)</f>
        <v>800000</v>
      </c>
      <c r="H8" s="14" t="n">
        <f aca="false">G8*Inputs!$B$80</f>
        <v>280000</v>
      </c>
      <c r="I8" s="19" t="n">
        <v>10</v>
      </c>
      <c r="J8" s="32" t="n">
        <f aca="false">E8/I8</f>
        <v>220000</v>
      </c>
      <c r="K8" s="5" t="s">
        <v>70</v>
      </c>
      <c r="L8" s="5" t="s">
        <v>401</v>
      </c>
    </row>
    <row r="9" customFormat="false" ht="15" hidden="false" customHeight="false" outlineLevel="0" collapsed="false">
      <c r="A9" s="5" t="s">
        <v>402</v>
      </c>
      <c r="B9" s="19" t="n">
        <v>1</v>
      </c>
      <c r="C9" s="5" t="s">
        <v>391</v>
      </c>
      <c r="D9" s="18" t="n">
        <v>1000000</v>
      </c>
      <c r="E9" s="32" t="n">
        <f aca="false">B9*D9</f>
        <v>1000000</v>
      </c>
      <c r="F9" s="5" t="s">
        <v>392</v>
      </c>
      <c r="G9" s="32" t="n">
        <f aca="false">IF(ISNUMBER(F9),MIN(E9,F9),0)</f>
        <v>0</v>
      </c>
      <c r="H9" s="14" t="n">
        <f aca="false">G9*Inputs!$B$80</f>
        <v>0</v>
      </c>
      <c r="I9" s="19" t="n">
        <v>15</v>
      </c>
      <c r="J9" s="32" t="n">
        <f aca="false">E9/I9</f>
        <v>66666.6666666667</v>
      </c>
      <c r="K9" s="5" t="s">
        <v>74</v>
      </c>
      <c r="L9" s="5"/>
    </row>
    <row r="10" customFormat="false" ht="15" hidden="false" customHeight="false" outlineLevel="0" collapsed="false">
      <c r="A10" s="5" t="s">
        <v>403</v>
      </c>
      <c r="B10" s="19" t="n">
        <v>1</v>
      </c>
      <c r="C10" s="5" t="s">
        <v>395</v>
      </c>
      <c r="D10" s="18" t="n">
        <v>1200000</v>
      </c>
      <c r="E10" s="32" t="n">
        <f aca="false">B10*D10</f>
        <v>1200000</v>
      </c>
      <c r="F10" s="5" t="s">
        <v>392</v>
      </c>
      <c r="G10" s="32" t="n">
        <f aca="false">IF(ISNUMBER(F10),MIN(E10,F10),0)</f>
        <v>0</v>
      </c>
      <c r="H10" s="14" t="n">
        <f aca="false">G10*Inputs!$B$80</f>
        <v>0</v>
      </c>
      <c r="I10" s="19" t="n">
        <v>10</v>
      </c>
      <c r="J10" s="32" t="n">
        <f aca="false">E10/I10</f>
        <v>120000</v>
      </c>
      <c r="K10" s="5" t="s">
        <v>74</v>
      </c>
      <c r="L10" s="5"/>
    </row>
    <row r="11" customFormat="false" ht="15" hidden="false" customHeight="false" outlineLevel="0" collapsed="false">
      <c r="A11" s="5" t="s">
        <v>404</v>
      </c>
      <c r="B11" s="19" t="n">
        <v>1</v>
      </c>
      <c r="C11" s="5" t="s">
        <v>391</v>
      </c>
      <c r="D11" s="18" t="n">
        <v>800000</v>
      </c>
      <c r="E11" s="32" t="n">
        <f aca="false">B11*D11</f>
        <v>800000</v>
      </c>
      <c r="F11" s="5" t="s">
        <v>392</v>
      </c>
      <c r="G11" s="32" t="n">
        <f aca="false">IF(ISNUMBER(F11),MIN(E11,F11),0)</f>
        <v>0</v>
      </c>
      <c r="H11" s="14" t="n">
        <f aca="false">G11*Inputs!$B$80</f>
        <v>0</v>
      </c>
      <c r="I11" s="19" t="n">
        <v>10</v>
      </c>
      <c r="J11" s="32" t="n">
        <f aca="false">E11/I11</f>
        <v>80000</v>
      </c>
      <c r="K11" s="5" t="s">
        <v>74</v>
      </c>
      <c r="L11" s="5"/>
    </row>
    <row r="12" customFormat="false" ht="15" hidden="false" customHeight="false" outlineLevel="0" collapsed="false">
      <c r="A12" s="5" t="s">
        <v>405</v>
      </c>
      <c r="B12" s="19" t="n">
        <v>2000</v>
      </c>
      <c r="C12" s="5" t="s">
        <v>406</v>
      </c>
      <c r="D12" s="18" t="n">
        <v>350</v>
      </c>
      <c r="E12" s="32" t="n">
        <f aca="false">B12*D12</f>
        <v>700000</v>
      </c>
      <c r="F12" s="5" t="s">
        <v>392</v>
      </c>
      <c r="G12" s="32" t="n">
        <f aca="false">IF(ISNUMBER(F12),MIN(E12,F12),0)</f>
        <v>0</v>
      </c>
      <c r="H12" s="14" t="n">
        <f aca="false">G12*Inputs!$B$80</f>
        <v>0</v>
      </c>
      <c r="I12" s="19" t="n">
        <v>4</v>
      </c>
      <c r="J12" s="32" t="n">
        <f aca="false">E12/I12</f>
        <v>175000</v>
      </c>
      <c r="K12" s="5" t="s">
        <v>74</v>
      </c>
      <c r="L12" s="5" t="s">
        <v>407</v>
      </c>
    </row>
    <row r="13" customFormat="false" ht="15" hidden="false" customHeight="false" outlineLevel="0" collapsed="false">
      <c r="A13" s="5" t="s">
        <v>408</v>
      </c>
      <c r="B13" s="19" t="n">
        <v>1</v>
      </c>
      <c r="C13" s="5" t="s">
        <v>391</v>
      </c>
      <c r="D13" s="18" t="n">
        <v>400000</v>
      </c>
      <c r="E13" s="32" t="n">
        <f aca="false">B13*D13</f>
        <v>400000</v>
      </c>
      <c r="F13" s="5" t="s">
        <v>392</v>
      </c>
      <c r="G13" s="32" t="n">
        <f aca="false">IF(ISNUMBER(F13),MIN(E13,F13),0)</f>
        <v>0</v>
      </c>
      <c r="H13" s="14" t="n">
        <f aca="false">G13*Inputs!$B$80</f>
        <v>0</v>
      </c>
      <c r="I13" s="19" t="n">
        <v>7</v>
      </c>
      <c r="J13" s="32" t="n">
        <f aca="false">E13/I13</f>
        <v>57142.8571428571</v>
      </c>
      <c r="K13" s="5" t="s">
        <v>74</v>
      </c>
      <c r="L13" s="5"/>
    </row>
    <row r="14" customFormat="false" ht="15" hidden="false" customHeight="false" outlineLevel="0" collapsed="false">
      <c r="A14" s="5" t="s">
        <v>409</v>
      </c>
      <c r="B14" s="19" t="n">
        <v>1</v>
      </c>
      <c r="C14" s="5" t="s">
        <v>391</v>
      </c>
      <c r="D14" s="18" t="n">
        <v>300000</v>
      </c>
      <c r="E14" s="32" t="n">
        <f aca="false">B14*D14</f>
        <v>300000</v>
      </c>
      <c r="F14" s="5" t="s">
        <v>392</v>
      </c>
      <c r="G14" s="32" t="n">
        <f aca="false">IF(ISNUMBER(F14),MIN(E14,F14),0)</f>
        <v>0</v>
      </c>
      <c r="H14" s="14" t="n">
        <f aca="false">G14*Inputs!$B$80</f>
        <v>0</v>
      </c>
      <c r="I14" s="19" t="n">
        <v>5</v>
      </c>
      <c r="J14" s="32" t="n">
        <f aca="false">E14/I14</f>
        <v>60000</v>
      </c>
      <c r="K14" s="5" t="s">
        <v>74</v>
      </c>
      <c r="L14" s="5"/>
    </row>
    <row r="15" customFormat="false" ht="15" hidden="false" customHeight="false" outlineLevel="0" collapsed="false">
      <c r="A15" s="5" t="s">
        <v>410</v>
      </c>
      <c r="B15" s="23" t="n">
        <v>0.05</v>
      </c>
      <c r="E15" s="32" t="n">
        <f aca="false">SUM(E5:E14)*B15</f>
        <v>1130000</v>
      </c>
      <c r="G15" s="18" t="n">
        <v>0</v>
      </c>
      <c r="H15" s="18" t="n">
        <v>0</v>
      </c>
      <c r="I15" s="19" t="n">
        <v>10</v>
      </c>
      <c r="J15" s="32" t="n">
        <f aca="false">E15/I15</f>
        <v>113000</v>
      </c>
      <c r="K15" s="5" t="s">
        <v>74</v>
      </c>
    </row>
    <row r="16" customFormat="false" ht="15" hidden="false" customHeight="false" outlineLevel="0" collapsed="false">
      <c r="A16" s="9" t="s">
        <v>411</v>
      </c>
      <c r="E16" s="30" t="n">
        <f aca="false">SUM(E5:E15)</f>
        <v>23730000</v>
      </c>
      <c r="G16" s="30" t="n">
        <f aca="false">SUM(G5:G15)</f>
        <v>10800000</v>
      </c>
      <c r="H16" s="30" t="n">
        <f aca="false">SUM(H5:H15)</f>
        <v>3780000</v>
      </c>
      <c r="J16" s="30" t="n">
        <f aca="false">SUM(J5:J15)</f>
        <v>2141809.52380952</v>
      </c>
    </row>
    <row r="18" customFormat="false" ht="15" hidden="false" customHeight="false" outlineLevel="0" collapsed="false">
      <c r="A18" s="3" t="s">
        <v>412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customFormat="false" ht="15" hidden="false" customHeight="false" outlineLevel="0" collapsed="false">
      <c r="A19" s="5" t="s">
        <v>413</v>
      </c>
      <c r="B19" s="32" t="n">
        <f aca="false">E16</f>
        <v>23730000</v>
      </c>
    </row>
    <row r="20" customFormat="false" ht="15" hidden="false" customHeight="false" outlineLevel="0" collapsed="false">
      <c r="A20" s="5" t="s">
        <v>414</v>
      </c>
      <c r="B20" s="14" t="n">
        <f aca="false">B19*Inputs!$B$81</f>
        <v>5932500</v>
      </c>
    </row>
    <row r="21" customFormat="false" ht="15" hidden="false" customHeight="false" outlineLevel="0" collapsed="false">
      <c r="A21" s="5" t="s">
        <v>415</v>
      </c>
      <c r="B21" s="32" t="n">
        <f aca="false">B19-B20</f>
        <v>17797500</v>
      </c>
    </row>
    <row r="22" customFormat="false" ht="15" hidden="false" customHeight="false" outlineLevel="0" collapsed="false">
      <c r="A22" s="5" t="s">
        <v>416</v>
      </c>
      <c r="B22" s="32" t="n">
        <f aca="false">H16</f>
        <v>3780000</v>
      </c>
    </row>
    <row r="23" customFormat="false" ht="15" hidden="false" customHeight="false" outlineLevel="0" collapsed="false">
      <c r="A23" s="9" t="s">
        <v>417</v>
      </c>
      <c r="B23" s="42" t="n">
        <f aca="false">B21-B22</f>
        <v>14017500</v>
      </c>
    </row>
    <row r="24" customFormat="false" ht="15" hidden="false" customHeight="false" outlineLevel="0" collapsed="false">
      <c r="A24" s="5" t="s">
        <v>418</v>
      </c>
      <c r="B24" s="43" t="n">
        <f aca="false">(MIN(B23,Inputs!$B$84)*(Inputs!$B$82-Inputs!$B$83)+MAX(0,B23-Inputs!$B$84)*Inputs!$B$82)/B23</f>
        <v>0.075</v>
      </c>
    </row>
    <row r="25" customFormat="false" ht="15" hidden="false" customHeight="false" outlineLevel="0" collapsed="false">
      <c r="A25" s="9" t="s">
        <v>419</v>
      </c>
      <c r="B25" s="44" t="n">
        <f aca="false">PMT(B24,Inputs!$B$85,-B23)</f>
        <v>2646508.42106361</v>
      </c>
    </row>
    <row r="26" customFormat="false" ht="15" hidden="false" customHeight="false" outlineLevel="0" collapsed="false">
      <c r="A26" s="5" t="s">
        <v>420</v>
      </c>
      <c r="B26" s="44" t="n">
        <f aca="false">(B25*Inputs!$B$85-B23)/Inputs!$B$85</f>
        <v>644008.421063608</v>
      </c>
    </row>
    <row r="27" customFormat="false" ht="15" hidden="false" customHeight="false" outlineLevel="0" collapsed="false">
      <c r="A27" s="5" t="s">
        <v>421</v>
      </c>
      <c r="B27" s="32" t="n">
        <f aca="false">J16</f>
        <v>2141809.52380952</v>
      </c>
    </row>
    <row r="28" customFormat="false" ht="15" hidden="false" customHeight="false" outlineLevel="0" collapsed="false">
      <c r="A28" s="5" t="s">
        <v>422</v>
      </c>
      <c r="B28" s="14" t="n">
        <f aca="false">B19/'Volumes &amp; Seasonality'!$B$7</f>
        <v>6042.36111111111</v>
      </c>
    </row>
    <row r="30" customFormat="false" ht="15" hidden="false" customHeight="true" outlineLevel="0" collapsed="false">
      <c r="A30" s="45" t="s">
        <v>423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</row>
  </sheetData>
  <mergeCells count="1">
    <mergeCell ref="A30:L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424</v>
      </c>
    </row>
    <row r="2" customFormat="false" ht="15" hidden="false" customHeight="false" outlineLevel="0" collapsed="false">
      <c r="A2" s="2" t="s">
        <v>425</v>
      </c>
    </row>
    <row r="4" customFormat="false" ht="15" hidden="false" customHeight="false" outlineLevel="0" collapsed="false">
      <c r="A4" s="17" t="s">
        <v>320</v>
      </c>
      <c r="B4" s="17" t="s">
        <v>426</v>
      </c>
      <c r="C4" s="17" t="s">
        <v>427</v>
      </c>
      <c r="D4" s="17" t="s">
        <v>428</v>
      </c>
      <c r="E4" s="17" t="s">
        <v>429</v>
      </c>
      <c r="F4" s="17" t="s">
        <v>303</v>
      </c>
      <c r="G4" s="17" t="s">
        <v>430</v>
      </c>
      <c r="H4" s="17" t="s">
        <v>65</v>
      </c>
      <c r="I4" s="17" t="s">
        <v>257</v>
      </c>
    </row>
    <row r="5" customFormat="false" ht="15" hidden="false" customHeight="false" outlineLevel="0" collapsed="false">
      <c r="A5" s="3" t="s">
        <v>431</v>
      </c>
      <c r="B5" s="4"/>
      <c r="C5" s="4"/>
      <c r="D5" s="4"/>
      <c r="E5" s="4"/>
      <c r="F5" s="4"/>
      <c r="G5" s="4"/>
      <c r="H5" s="4"/>
      <c r="I5" s="4"/>
    </row>
    <row r="6" customFormat="false" ht="15" hidden="false" customHeight="false" outlineLevel="0" collapsed="false">
      <c r="A6" s="5" t="s">
        <v>432</v>
      </c>
      <c r="B6" s="19" t="n">
        <v>1</v>
      </c>
      <c r="C6" s="5" t="s">
        <v>433</v>
      </c>
      <c r="D6" s="18" t="n">
        <v>60000</v>
      </c>
      <c r="E6" s="5" t="s">
        <v>434</v>
      </c>
      <c r="F6" s="14" t="n">
        <f aca="false">B6*D6*12*(1+Inputs!$B$46)</f>
        <v>813600</v>
      </c>
      <c r="G6" s="11" t="n">
        <f aca="false">F6/('Volumes &amp; Seasonality'!$B$13*1000)</f>
        <v>0.254011460146971</v>
      </c>
      <c r="H6" s="5" t="s">
        <v>74</v>
      </c>
      <c r="I6" s="5"/>
    </row>
    <row r="7" customFormat="false" ht="15" hidden="false" customHeight="false" outlineLevel="0" collapsed="false">
      <c r="A7" s="5" t="s">
        <v>435</v>
      </c>
      <c r="B7" s="19" t="n">
        <v>1</v>
      </c>
      <c r="C7" s="5" t="s">
        <v>433</v>
      </c>
      <c r="D7" s="18" t="n">
        <v>35000</v>
      </c>
      <c r="E7" s="5" t="s">
        <v>434</v>
      </c>
      <c r="F7" s="14" t="n">
        <f aca="false">B7*D7*12*(1+Inputs!$B$46)</f>
        <v>474600</v>
      </c>
      <c r="G7" s="11" t="n">
        <f aca="false">F7/('Volumes &amp; Seasonality'!$B$13*1000)</f>
        <v>0.1481733517524</v>
      </c>
      <c r="H7" s="5" t="s">
        <v>74</v>
      </c>
      <c r="I7" s="5"/>
    </row>
    <row r="8" customFormat="false" ht="15" hidden="false" customHeight="false" outlineLevel="0" collapsed="false">
      <c r="A8" s="5" t="s">
        <v>436</v>
      </c>
      <c r="B8" s="19" t="n">
        <v>2</v>
      </c>
      <c r="C8" s="5" t="s">
        <v>433</v>
      </c>
      <c r="D8" s="18" t="n">
        <v>25000</v>
      </c>
      <c r="E8" s="5" t="s">
        <v>434</v>
      </c>
      <c r="F8" s="14" t="n">
        <f aca="false">B8*D8*12*(1+Inputs!$B$46)</f>
        <v>678000</v>
      </c>
      <c r="G8" s="11" t="n">
        <f aca="false">F8/('Volumes &amp; Seasonality'!$B$13*1000)</f>
        <v>0.211676216789143</v>
      </c>
      <c r="H8" s="5" t="s">
        <v>74</v>
      </c>
      <c r="I8" s="5"/>
    </row>
    <row r="9" customFormat="false" ht="15" hidden="false" customHeight="false" outlineLevel="0" collapsed="false">
      <c r="A9" s="5" t="s">
        <v>437</v>
      </c>
      <c r="B9" s="19" t="n">
        <v>2</v>
      </c>
      <c r="C9" s="5" t="s">
        <v>433</v>
      </c>
      <c r="D9" s="18" t="n">
        <v>22000</v>
      </c>
      <c r="E9" s="5" t="s">
        <v>434</v>
      </c>
      <c r="F9" s="14" t="n">
        <f aca="false">B9*D9*12*(1+Inputs!$B$46)</f>
        <v>596640</v>
      </c>
      <c r="G9" s="11" t="n">
        <f aca="false">F9/('Volumes &amp; Seasonality'!$B$13*1000)</f>
        <v>0.186275070774446</v>
      </c>
      <c r="H9" s="5" t="s">
        <v>74</v>
      </c>
      <c r="I9" s="5"/>
    </row>
    <row r="10" customFormat="false" ht="15" hidden="false" customHeight="false" outlineLevel="0" collapsed="false">
      <c r="A10" s="5" t="s">
        <v>438</v>
      </c>
      <c r="B10" s="19" t="n">
        <v>1</v>
      </c>
      <c r="C10" s="5" t="s">
        <v>433</v>
      </c>
      <c r="D10" s="18" t="n">
        <v>25000</v>
      </c>
      <c r="E10" s="5" t="s">
        <v>434</v>
      </c>
      <c r="F10" s="14" t="n">
        <f aca="false">B10*D10*12*(1+Inputs!$B$46)</f>
        <v>339000</v>
      </c>
      <c r="G10" s="11" t="n">
        <f aca="false">F10/('Volumes &amp; Seasonality'!$B$13*1000)</f>
        <v>0.105838108394571</v>
      </c>
      <c r="H10" s="5" t="s">
        <v>74</v>
      </c>
      <c r="I10" s="5"/>
    </row>
    <row r="11" customFormat="false" ht="15" hidden="false" customHeight="false" outlineLevel="0" collapsed="false">
      <c r="A11" s="5" t="s">
        <v>439</v>
      </c>
      <c r="B11" s="19" t="n">
        <v>3</v>
      </c>
      <c r="C11" s="5" t="s">
        <v>433</v>
      </c>
      <c r="D11" s="18" t="n">
        <v>14000</v>
      </c>
      <c r="E11" s="5" t="s">
        <v>434</v>
      </c>
      <c r="F11" s="14" t="n">
        <f aca="false">B11*D11*12*(1+Inputs!$B$46)</f>
        <v>569520</v>
      </c>
      <c r="G11" s="11" t="n">
        <f aca="false">F11/('Volumes &amp; Seasonality'!$B$13*1000)</f>
        <v>0.17780802210288</v>
      </c>
      <c r="H11" s="5" t="s">
        <v>70</v>
      </c>
      <c r="I11" s="5" t="s">
        <v>440</v>
      </c>
    </row>
    <row r="12" customFormat="false" ht="15" hidden="false" customHeight="false" outlineLevel="0" collapsed="false">
      <c r="A12" s="5" t="s">
        <v>441</v>
      </c>
      <c r="B12" s="19" t="n">
        <v>1</v>
      </c>
      <c r="C12" s="5" t="s">
        <v>433</v>
      </c>
      <c r="D12" s="18" t="n">
        <v>60000</v>
      </c>
      <c r="E12" s="5" t="s">
        <v>434</v>
      </c>
      <c r="F12" s="14" t="n">
        <f aca="false">B12*D12*12*(1+Inputs!$B$46)</f>
        <v>813600</v>
      </c>
      <c r="G12" s="11" t="n">
        <f aca="false">F12/('Volumes &amp; Seasonality'!$B$13*1000)</f>
        <v>0.254011460146971</v>
      </c>
      <c r="H12" s="5" t="s">
        <v>74</v>
      </c>
      <c r="I12" s="5"/>
    </row>
    <row r="13" customFormat="false" ht="15" hidden="false" customHeight="false" outlineLevel="0" collapsed="false">
      <c r="A13" s="3" t="s">
        <v>442</v>
      </c>
      <c r="B13" s="4"/>
      <c r="C13" s="4"/>
      <c r="D13" s="4"/>
      <c r="E13" s="4"/>
      <c r="F13" s="4"/>
      <c r="G13" s="4"/>
      <c r="H13" s="4"/>
      <c r="I13" s="4"/>
    </row>
    <row r="14" customFormat="false" ht="15" hidden="false" customHeight="false" outlineLevel="0" collapsed="false">
      <c r="A14" s="5" t="s">
        <v>443</v>
      </c>
      <c r="B14" s="19" t="n">
        <v>150</v>
      </c>
      <c r="C14" s="5" t="s">
        <v>444</v>
      </c>
      <c r="D14" s="18" t="n">
        <v>150</v>
      </c>
      <c r="E14" s="5" t="s">
        <v>445</v>
      </c>
      <c r="F14" s="32" t="n">
        <f aca="false">B14*D14*12</f>
        <v>270000</v>
      </c>
      <c r="G14" s="11" t="n">
        <f aca="false">F14/('Volumes &amp; Seasonality'!$B$13*1000)</f>
        <v>0.0842958385443488</v>
      </c>
      <c r="H14" s="5" t="s">
        <v>74</v>
      </c>
      <c r="I14" s="5" t="s">
        <v>446</v>
      </c>
    </row>
    <row r="15" customFormat="false" ht="15" hidden="false" customHeight="false" outlineLevel="0" collapsed="false">
      <c r="A15" s="5" t="s">
        <v>447</v>
      </c>
      <c r="B15" s="14" t="n">
        <f aca="false">'Packhouse Capex'!$E$16</f>
        <v>23730000</v>
      </c>
      <c r="C15" s="5" t="s">
        <v>448</v>
      </c>
      <c r="D15" s="46" t="n">
        <v>0.025</v>
      </c>
      <c r="E15" s="5" t="s">
        <v>449</v>
      </c>
      <c r="F15" s="32" t="n">
        <f aca="false">B15*D15</f>
        <v>593250</v>
      </c>
      <c r="G15" s="11" t="n">
        <f aca="false">F15/('Volumes &amp; Seasonality'!$B$13*1000)</f>
        <v>0.1852166896905</v>
      </c>
      <c r="H15" s="5" t="s">
        <v>74</v>
      </c>
      <c r="I15" s="5" t="s">
        <v>450</v>
      </c>
    </row>
    <row r="16" customFormat="false" ht="15" hidden="false" customHeight="false" outlineLevel="0" collapsed="false">
      <c r="A16" s="5" t="s">
        <v>451</v>
      </c>
      <c r="B16" s="14" t="n">
        <f aca="false">'Packhouse Capex'!$E$16</f>
        <v>23730000</v>
      </c>
      <c r="C16" s="5" t="s">
        <v>448</v>
      </c>
      <c r="D16" s="46" t="n">
        <v>0.0035</v>
      </c>
      <c r="E16" s="5" t="s">
        <v>449</v>
      </c>
      <c r="F16" s="32" t="n">
        <f aca="false">B16*D16</f>
        <v>83055</v>
      </c>
      <c r="G16" s="11" t="n">
        <f aca="false">F16/('Volumes &amp; Seasonality'!$B$13*1000)</f>
        <v>0.02593033655667</v>
      </c>
      <c r="H16" s="5" t="s">
        <v>74</v>
      </c>
      <c r="I16" s="5"/>
    </row>
    <row r="17" customFormat="false" ht="15" hidden="false" customHeight="false" outlineLevel="0" collapsed="false">
      <c r="A17" s="5" t="s">
        <v>452</v>
      </c>
      <c r="B17" s="19" t="n">
        <v>1</v>
      </c>
      <c r="C17" s="5" t="s">
        <v>391</v>
      </c>
      <c r="D17" s="18" t="n">
        <v>350000</v>
      </c>
      <c r="E17" s="5" t="s">
        <v>453</v>
      </c>
      <c r="F17" s="32" t="n">
        <f aca="false">B17*D17</f>
        <v>350000</v>
      </c>
      <c r="G17" s="11" t="n">
        <f aca="false">F17/('Volumes &amp; Seasonality'!$B$13*1000)</f>
        <v>0.10927238329823</v>
      </c>
      <c r="H17" s="5" t="s">
        <v>74</v>
      </c>
      <c r="I17" s="5" t="s">
        <v>454</v>
      </c>
    </row>
    <row r="18" customFormat="false" ht="15" hidden="false" customHeight="false" outlineLevel="0" collapsed="false">
      <c r="A18" s="5" t="s">
        <v>455</v>
      </c>
      <c r="B18" s="19" t="n">
        <v>1</v>
      </c>
      <c r="C18" s="5" t="s">
        <v>456</v>
      </c>
      <c r="D18" s="18" t="n">
        <v>150000</v>
      </c>
      <c r="E18" s="5" t="s">
        <v>453</v>
      </c>
      <c r="F18" s="32" t="n">
        <f aca="false">B18*D18</f>
        <v>150000</v>
      </c>
      <c r="G18" s="11" t="n">
        <f aca="false">F18/('Volumes &amp; Seasonality'!$B$13*1000)</f>
        <v>0.0468310214135271</v>
      </c>
      <c r="H18" s="5" t="s">
        <v>74</v>
      </c>
      <c r="I18" s="5" t="s">
        <v>457</v>
      </c>
    </row>
    <row r="19" customFormat="false" ht="15" hidden="false" customHeight="false" outlineLevel="0" collapsed="false">
      <c r="A19" s="5" t="s">
        <v>458</v>
      </c>
      <c r="B19" s="19" t="n">
        <v>12</v>
      </c>
      <c r="C19" s="5" t="s">
        <v>100</v>
      </c>
      <c r="D19" s="18" t="n">
        <v>50000</v>
      </c>
      <c r="E19" s="5" t="s">
        <v>434</v>
      </c>
      <c r="F19" s="32" t="n">
        <f aca="false">B19*D19</f>
        <v>600000</v>
      </c>
      <c r="G19" s="11" t="n">
        <f aca="false">F19/('Volumes &amp; Seasonality'!$B$13*1000)</f>
        <v>0.187324085654109</v>
      </c>
      <c r="H19" s="5" t="s">
        <v>74</v>
      </c>
      <c r="I19" s="5"/>
    </row>
    <row r="20" customFormat="false" ht="15" hidden="false" customHeight="false" outlineLevel="0" collapsed="false">
      <c r="A20" s="9" t="s">
        <v>459</v>
      </c>
      <c r="F20" s="30" t="n">
        <f aca="false">SUM(F6:F19)</f>
        <v>6331265</v>
      </c>
      <c r="G20" s="12" t="n">
        <f aca="false">F20/('Volumes &amp; Seasonality'!$B$13*1000)</f>
        <v>1.97666404526477</v>
      </c>
    </row>
    <row r="22" customFormat="false" ht="15" hidden="false" customHeight="false" outlineLevel="0" collapsed="false">
      <c r="A22" s="3" t="s">
        <v>460</v>
      </c>
      <c r="B22" s="4"/>
      <c r="C22" s="4"/>
      <c r="D22" s="4"/>
      <c r="E22" s="4"/>
      <c r="F22" s="4"/>
      <c r="G22" s="4"/>
      <c r="H22" s="4"/>
      <c r="I22" s="4"/>
    </row>
    <row r="23" customFormat="false" ht="15" hidden="false" customHeight="false" outlineLevel="0" collapsed="false">
      <c r="A23" s="5" t="s">
        <v>461</v>
      </c>
      <c r="B23" s="6" t="n">
        <f aca="false">'Volumes &amp; Seasonality'!$B$7*1000</f>
        <v>3927272.72727273</v>
      </c>
      <c r="C23" s="5" t="s">
        <v>462</v>
      </c>
      <c r="D23" s="11" t="n">
        <f aca="false">(Inputs!$B$36+Inputs!$B$37)*Inputs!$B$38/(Inputs!$B$35*1000)</f>
        <v>1</v>
      </c>
      <c r="E23" s="5" t="s">
        <v>160</v>
      </c>
      <c r="F23" s="32" t="n">
        <f aca="false">B23*D23</f>
        <v>3927272.72727273</v>
      </c>
      <c r="G23" s="11" t="n">
        <f aca="false">F23/('Volumes &amp; Seasonality'!$B$13*1000)</f>
        <v>1.2261212879178</v>
      </c>
      <c r="H23" s="5" t="s">
        <v>82</v>
      </c>
      <c r="I23" s="5" t="s">
        <v>463</v>
      </c>
    </row>
    <row r="24" customFormat="false" ht="15" hidden="false" customHeight="false" outlineLevel="0" collapsed="false">
      <c r="A24" s="5" t="s">
        <v>159</v>
      </c>
      <c r="B24" s="6" t="n">
        <f aca="false">'Volumes &amp; Seasonality'!$B$7*1000</f>
        <v>3927272.72727273</v>
      </c>
      <c r="C24" s="5" t="s">
        <v>462</v>
      </c>
      <c r="D24" s="11" t="n">
        <f aca="false">Inputs!$B$39</f>
        <v>0.5</v>
      </c>
      <c r="E24" s="5" t="s">
        <v>160</v>
      </c>
      <c r="F24" s="32" t="n">
        <f aca="false">B24*D24</f>
        <v>1963636.36363636</v>
      </c>
      <c r="G24" s="11" t="n">
        <f aca="false">F24/('Volumes &amp; Seasonality'!$B$13*1000)</f>
        <v>0.613060643958901</v>
      </c>
      <c r="H24" s="5" t="s">
        <v>74</v>
      </c>
      <c r="I24" s="5"/>
    </row>
    <row r="25" customFormat="false" ht="15" hidden="false" customHeight="false" outlineLevel="0" collapsed="false">
      <c r="A25" s="5" t="s">
        <v>464</v>
      </c>
      <c r="B25" s="6" t="n">
        <f aca="false">Inputs!$B$7</f>
        <v>300</v>
      </c>
      <c r="C25" s="5" t="s">
        <v>465</v>
      </c>
      <c r="D25" s="11" t="n">
        <f aca="false">Inputs!$B$40*Inputs!$B$41</f>
        <v>15375</v>
      </c>
      <c r="E25" s="5" t="s">
        <v>108</v>
      </c>
      <c r="F25" s="32" t="n">
        <f aca="false">B25*D25</f>
        <v>4612500</v>
      </c>
      <c r="G25" s="11" t="n">
        <f aca="false">F25/('Volumes &amp; Seasonality'!$B$13*1000)</f>
        <v>1.44005390846596</v>
      </c>
      <c r="H25" s="5" t="s">
        <v>89</v>
      </c>
      <c r="I25" s="5" t="s">
        <v>466</v>
      </c>
    </row>
    <row r="26" customFormat="false" ht="15" hidden="false" customHeight="false" outlineLevel="0" collapsed="false">
      <c r="A26" s="5" t="s">
        <v>166</v>
      </c>
      <c r="B26" s="6" t="n">
        <f aca="false">'Volumes &amp; Seasonality'!$B$9*1000</f>
        <v>3613090.90909091</v>
      </c>
      <c r="C26" s="5" t="s">
        <v>467</v>
      </c>
      <c r="D26" s="11" t="n">
        <f aca="false">Inputs!$B$42</f>
        <v>0.4</v>
      </c>
      <c r="E26" s="5" t="s">
        <v>167</v>
      </c>
      <c r="F26" s="32" t="n">
        <f aca="false">B26*D26</f>
        <v>1445236.36363636</v>
      </c>
      <c r="G26" s="11" t="n">
        <f aca="false">F26/('Volumes &amp; Seasonality'!$B$13*1000)</f>
        <v>0.451212633953751</v>
      </c>
      <c r="H26" s="5" t="s">
        <v>82</v>
      </c>
      <c r="I26" s="5" t="s">
        <v>468</v>
      </c>
    </row>
    <row r="27" customFormat="false" ht="15" hidden="false" customHeight="false" outlineLevel="0" collapsed="false">
      <c r="A27" s="5" t="s">
        <v>169</v>
      </c>
      <c r="B27" s="6" t="n">
        <f aca="false">'Volumes &amp; Seasonality'!$B$9*1000</f>
        <v>3613090.90909091</v>
      </c>
      <c r="C27" s="5" t="s">
        <v>467</v>
      </c>
      <c r="D27" s="11" t="n">
        <f aca="false">Inputs!$B$43</f>
        <v>0.05</v>
      </c>
      <c r="E27" s="5" t="s">
        <v>167</v>
      </c>
      <c r="F27" s="32" t="n">
        <f aca="false">B27*D27</f>
        <v>180654.545454545</v>
      </c>
      <c r="G27" s="11" t="n">
        <f aca="false">F27/('Volumes &amp; Seasonality'!$B$13*1000)</f>
        <v>0.0564015792442189</v>
      </c>
      <c r="H27" s="5" t="s">
        <v>74</v>
      </c>
      <c r="I27" s="5"/>
    </row>
    <row r="28" customFormat="false" ht="15" hidden="false" customHeight="false" outlineLevel="0" collapsed="false">
      <c r="A28" s="5" t="s">
        <v>469</v>
      </c>
      <c r="B28" s="6" t="n">
        <f aca="false">'Volumes &amp; Seasonality'!$B$13</f>
        <v>3203.00509090909</v>
      </c>
      <c r="C28" s="5" t="s">
        <v>470</v>
      </c>
      <c r="D28" s="11" t="n">
        <f aca="false">Inputs!$B$44*Inputs!$B$45</f>
        <v>382.5</v>
      </c>
      <c r="E28" s="5" t="s">
        <v>471</v>
      </c>
      <c r="F28" s="32" t="n">
        <f aca="false">B28*D28</f>
        <v>1225149.44727273</v>
      </c>
      <c r="G28" s="11" t="n">
        <f aca="false">F28/('Volumes &amp; Seasonality'!$B$13*1000)</f>
        <v>0.3825</v>
      </c>
      <c r="H28" s="5" t="s">
        <v>89</v>
      </c>
      <c r="I28" s="5" t="s">
        <v>472</v>
      </c>
    </row>
    <row r="29" customFormat="false" ht="15" hidden="false" customHeight="false" outlineLevel="0" collapsed="false">
      <c r="A29" s="9" t="s">
        <v>473</v>
      </c>
      <c r="F29" s="30" t="n">
        <f aca="false">SUM(F23:F28)</f>
        <v>13354449.4472727</v>
      </c>
      <c r="G29" s="12" t="n">
        <f aca="false">F29/('Volumes &amp; Seasonality'!$B$13*1000)</f>
        <v>4.16935005354063</v>
      </c>
    </row>
    <row r="31" customFormat="false" ht="30" hidden="false" customHeight="true" outlineLevel="0" collapsed="false">
      <c r="A31" s="45" t="s">
        <v>474</v>
      </c>
      <c r="B31" s="45"/>
      <c r="C31" s="45"/>
      <c r="D31" s="45"/>
      <c r="E31" s="45"/>
      <c r="F31" s="45"/>
      <c r="G31" s="45"/>
      <c r="H31" s="45"/>
      <c r="I31" s="45"/>
    </row>
  </sheetData>
  <mergeCells count="1">
    <mergeCell ref="A31:I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4"/>
    <col collapsed="false" customWidth="true" hidden="false" outlineLevel="0" max="4" min="4" style="0" width="15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475</v>
      </c>
    </row>
    <row r="2" customFormat="false" ht="15" hidden="false" customHeight="false" outlineLevel="0" collapsed="false">
      <c r="A2" s="2" t="s">
        <v>476</v>
      </c>
    </row>
    <row r="4" customFormat="false" ht="15" hidden="false" customHeight="false" outlineLevel="0" collapsed="false">
      <c r="A4" s="17" t="s">
        <v>477</v>
      </c>
      <c r="B4" s="17" t="s">
        <v>478</v>
      </c>
      <c r="C4" s="17" t="s">
        <v>479</v>
      </c>
      <c r="D4" s="17" t="s">
        <v>480</v>
      </c>
      <c r="E4" s="17" t="s">
        <v>481</v>
      </c>
      <c r="F4" s="17" t="s">
        <v>482</v>
      </c>
      <c r="G4" s="17" t="s">
        <v>483</v>
      </c>
      <c r="H4" s="17" t="s">
        <v>484</v>
      </c>
    </row>
    <row r="5" customFormat="false" ht="15" hidden="false" customHeight="false" outlineLevel="0" collapsed="false">
      <c r="A5" s="3" t="s">
        <v>485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9" t="s">
        <v>14</v>
      </c>
      <c r="B6" s="12" t="n">
        <f aca="false">Inputs!$B$56*Inputs!$B$6/Inputs!$B$31</f>
        <v>51.6923076923077</v>
      </c>
      <c r="C6" s="12" t="n">
        <f aca="false">Inputs!$B$69</f>
        <v>28</v>
      </c>
      <c r="D6" s="12" t="n">
        <f aca="false">B6*Inputs!$B$31</f>
        <v>672</v>
      </c>
      <c r="E6" s="47" t="n">
        <f aca="false">B6*(Inputs!$B$31*Inputs!$B$32)</f>
        <v>1034880</v>
      </c>
      <c r="F6" s="12" t="n">
        <f aca="false">C6*Inputs!$B$31</f>
        <v>364</v>
      </c>
      <c r="G6" s="47" t="n">
        <f aca="false">C6*Inputs!$B$70</f>
        <v>252000</v>
      </c>
      <c r="H6" s="5" t="s">
        <v>486</v>
      </c>
    </row>
    <row r="7" customFormat="false" ht="15" hidden="false" customHeight="false" outlineLevel="0" collapsed="false">
      <c r="A7" s="3" t="s">
        <v>487</v>
      </c>
      <c r="B7" s="4"/>
      <c r="C7" s="4"/>
      <c r="D7" s="4"/>
      <c r="E7" s="4"/>
      <c r="F7" s="4"/>
      <c r="G7" s="4"/>
      <c r="H7" s="4"/>
    </row>
    <row r="8" customFormat="false" ht="15" hidden="false" customHeight="false" outlineLevel="0" collapsed="false">
      <c r="A8" s="5" t="s">
        <v>488</v>
      </c>
      <c r="B8" s="11" t="n">
        <f aca="false">'Farm Economics'!$B$39</f>
        <v>9.42371149297978</v>
      </c>
      <c r="C8" s="11" t="n">
        <f aca="false">'Farm Economics'!$B$39</f>
        <v>9.42371149297978</v>
      </c>
      <c r="D8" s="11" t="n">
        <f aca="false">B8*Inputs!$B$31</f>
        <v>122.508249408737</v>
      </c>
      <c r="E8" s="14" t="n">
        <f aca="false">B8*(Inputs!$B$31*Inputs!$B$32)</f>
        <v>188662.704089455</v>
      </c>
      <c r="F8" s="11" t="n">
        <f aca="false">C8*Inputs!$B$31</f>
        <v>122.508249408737</v>
      </c>
      <c r="G8" s="14" t="n">
        <f aca="false">C8*Inputs!$B$70</f>
        <v>84813.403436818</v>
      </c>
      <c r="H8" s="5" t="s">
        <v>489</v>
      </c>
    </row>
    <row r="9" customFormat="false" ht="15" hidden="false" customHeight="false" outlineLevel="0" collapsed="false">
      <c r="A9" s="5" t="s">
        <v>490</v>
      </c>
      <c r="B9" s="11" t="n">
        <f aca="false">'Packhouse Opex'!$G$23+'Packhouse Opex'!$G$24</f>
        <v>1.8391819318767</v>
      </c>
      <c r="C9" s="11" t="n">
        <f aca="false">'Packhouse Opex'!$G$23+'Packhouse Opex'!$G$24</f>
        <v>1.8391819318767</v>
      </c>
      <c r="D9" s="11" t="n">
        <f aca="false">B9*Inputs!$B$31</f>
        <v>23.9093651143971</v>
      </c>
      <c r="E9" s="14" t="n">
        <f aca="false">B9*(Inputs!$B$31*Inputs!$B$32)</f>
        <v>36820.4222761716</v>
      </c>
      <c r="F9" s="11" t="n">
        <f aca="false">C9*Inputs!$B$31</f>
        <v>23.9093651143971</v>
      </c>
      <c r="G9" s="14" t="n">
        <f aca="false">C9*Inputs!$B$70</f>
        <v>16552.6373868903</v>
      </c>
      <c r="H9" s="5" t="s">
        <v>491</v>
      </c>
    </row>
    <row r="10" customFormat="false" ht="15" hidden="false" customHeight="false" outlineLevel="0" collapsed="false">
      <c r="A10" s="5" t="s">
        <v>464</v>
      </c>
      <c r="B10" s="11" t="n">
        <f aca="false">'Packhouse Opex'!$G$25</f>
        <v>1.44005390846596</v>
      </c>
      <c r="C10" s="11" t="n">
        <f aca="false">'Packhouse Opex'!$G$25</f>
        <v>1.44005390846596</v>
      </c>
      <c r="D10" s="11" t="n">
        <f aca="false">B10*Inputs!$B$31</f>
        <v>18.7207008100575</v>
      </c>
      <c r="E10" s="14" t="n">
        <f aca="false">B10*(Inputs!$B$31*Inputs!$B$32)</f>
        <v>28829.8792474885</v>
      </c>
      <c r="F10" s="11" t="n">
        <f aca="false">C10*Inputs!$B$31</f>
        <v>18.7207008100575</v>
      </c>
      <c r="G10" s="14" t="n">
        <f aca="false">C10*Inputs!$B$70</f>
        <v>12960.4851761936</v>
      </c>
      <c r="H10" s="5" t="s">
        <v>491</v>
      </c>
    </row>
    <row r="11" customFormat="false" ht="15" hidden="false" customHeight="false" outlineLevel="0" collapsed="false">
      <c r="A11" s="5" t="s">
        <v>492</v>
      </c>
      <c r="B11" s="11" t="n">
        <f aca="false">'Packhouse Opex'!$G$26+'Packhouse Opex'!$G$27</f>
        <v>0.50761421319797</v>
      </c>
      <c r="C11" s="11" t="n">
        <f aca="false">'Packhouse Opex'!$G$26+'Packhouse Opex'!$G$27</f>
        <v>0.50761421319797</v>
      </c>
      <c r="D11" s="11" t="n">
        <f aca="false">B11*Inputs!$B$31</f>
        <v>6.59898477157361</v>
      </c>
      <c r="E11" s="14" t="n">
        <f aca="false">B11*(Inputs!$B$31*Inputs!$B$32)</f>
        <v>10162.4365482234</v>
      </c>
      <c r="F11" s="11" t="n">
        <f aca="false">C11*Inputs!$B$31</f>
        <v>6.59898477157361</v>
      </c>
      <c r="G11" s="14" t="n">
        <f aca="false">C11*Inputs!$B$70</f>
        <v>4568.52791878173</v>
      </c>
      <c r="H11" s="5" t="s">
        <v>491</v>
      </c>
    </row>
    <row r="12" customFormat="false" ht="15" hidden="false" customHeight="false" outlineLevel="0" collapsed="false">
      <c r="A12" s="5" t="s">
        <v>493</v>
      </c>
      <c r="B12" s="11" t="n">
        <f aca="false">'Packhouse Opex'!$G$28</f>
        <v>0.3825</v>
      </c>
      <c r="C12" s="11" t="n">
        <f aca="false">'Packhouse Opex'!$G$28</f>
        <v>0.3825</v>
      </c>
      <c r="D12" s="11" t="n">
        <f aca="false">B12*Inputs!$B$31</f>
        <v>4.9725</v>
      </c>
      <c r="E12" s="14" t="n">
        <f aca="false">B12*(Inputs!$B$31*Inputs!$B$32)</f>
        <v>7657.65</v>
      </c>
      <c r="F12" s="11" t="n">
        <f aca="false">C12*Inputs!$B$31</f>
        <v>4.9725</v>
      </c>
      <c r="G12" s="14" t="n">
        <f aca="false">C12*Inputs!$B$70</f>
        <v>3442.5</v>
      </c>
      <c r="H12" s="5" t="s">
        <v>491</v>
      </c>
    </row>
    <row r="13" customFormat="false" ht="15" hidden="false" customHeight="false" outlineLevel="0" collapsed="false">
      <c r="A13" s="5" t="s">
        <v>494</v>
      </c>
      <c r="B13" s="11" t="n">
        <f aca="false">(Inputs!$B$48+Inputs!$B$49+Inputs!$B$50+Inputs!$B$51)/Inputs!$B$31</f>
        <v>7.53846153846154</v>
      </c>
      <c r="C13" s="11" t="n">
        <f aca="false">(Inputs!$B$52+Inputs!$B$53+Inputs!$B$54)/Inputs!$B$31</f>
        <v>5.15384615384615</v>
      </c>
      <c r="D13" s="11" t="n">
        <f aca="false">B13*Inputs!$B$31</f>
        <v>98</v>
      </c>
      <c r="E13" s="14" t="n">
        <f aca="false">B13*(Inputs!$B$31*Inputs!$B$32)</f>
        <v>150920</v>
      </c>
      <c r="F13" s="11" t="n">
        <f aca="false">C13*Inputs!$B$31</f>
        <v>67</v>
      </c>
      <c r="G13" s="14" t="n">
        <f aca="false">C13*Inputs!$B$70</f>
        <v>46384.6153846154</v>
      </c>
      <c r="H13" s="5" t="s">
        <v>495</v>
      </c>
    </row>
    <row r="14" customFormat="false" ht="15" hidden="false" customHeight="false" outlineLevel="0" collapsed="false">
      <c r="A14" s="5" t="s">
        <v>496</v>
      </c>
      <c r="B14" s="11" t="n">
        <f aca="false">Inputs!$B$60/(Inputs!$B$31*Inputs!$B$32)</f>
        <v>0.699300699300699</v>
      </c>
      <c r="C14" s="34" t="n">
        <f aca="false">0</f>
        <v>0</v>
      </c>
      <c r="D14" s="11" t="n">
        <f aca="false">B14*Inputs!$B$31</f>
        <v>9.09090909090909</v>
      </c>
      <c r="E14" s="14" t="n">
        <f aca="false">B14*(Inputs!$B$31*Inputs!$B$32)</f>
        <v>14000</v>
      </c>
      <c r="F14" s="11" t="n">
        <f aca="false">C14*Inputs!$B$31</f>
        <v>0</v>
      </c>
      <c r="G14" s="14" t="n">
        <f aca="false">C14*Inputs!$B$70</f>
        <v>0</v>
      </c>
      <c r="H14" s="5" t="s">
        <v>497</v>
      </c>
    </row>
    <row r="15" customFormat="false" ht="15" hidden="false" customHeight="false" outlineLevel="0" collapsed="false">
      <c r="A15" s="5" t="s">
        <v>498</v>
      </c>
      <c r="B15" s="11" t="n">
        <f aca="false">Inputs!$B$57/(Inputs!$B$31*Inputs!$B$32)</f>
        <v>2.997002997003</v>
      </c>
      <c r="C15" s="11" t="n">
        <f aca="false">((Inputs!$B$74*Inputs!$B$71+Inputs!$B$75*Inputs!$B$72+Inputs!$B$76*Inputs!$B$73)/Inputs!$B$70)</f>
        <v>4.72222222222222</v>
      </c>
      <c r="D15" s="11" t="n">
        <f aca="false">B15*Inputs!$B$31</f>
        <v>38.961038961039</v>
      </c>
      <c r="E15" s="14" t="n">
        <f aca="false">B15*(Inputs!$B$31*Inputs!$B$32)</f>
        <v>60000</v>
      </c>
      <c r="F15" s="11" t="n">
        <f aca="false">C15*Inputs!$B$31</f>
        <v>61.3888888888889</v>
      </c>
      <c r="G15" s="14" t="n">
        <f aca="false">C15*Inputs!$B$70</f>
        <v>42500</v>
      </c>
      <c r="H15" s="5" t="s">
        <v>499</v>
      </c>
    </row>
    <row r="16" customFormat="false" ht="15" hidden="false" customHeight="false" outlineLevel="0" collapsed="false">
      <c r="A16" s="5" t="s">
        <v>500</v>
      </c>
      <c r="B16" s="11" t="n">
        <f aca="false">(Inputs!$B$58+Inputs!$B$59)/(Inputs!$B$31*Inputs!$B$32)</f>
        <v>2.0979020979021</v>
      </c>
      <c r="C16" s="34" t="n">
        <f aca="false">0</f>
        <v>0</v>
      </c>
      <c r="D16" s="11" t="n">
        <f aca="false">B16*Inputs!$B$31</f>
        <v>27.2727272727273</v>
      </c>
      <c r="E16" s="14" t="n">
        <f aca="false">B16*(Inputs!$B$31*Inputs!$B$32)</f>
        <v>42000</v>
      </c>
      <c r="F16" s="11" t="n">
        <f aca="false">C16*Inputs!$B$31</f>
        <v>0</v>
      </c>
      <c r="G16" s="14" t="n">
        <f aca="false">C16*Inputs!$B$70</f>
        <v>0</v>
      </c>
      <c r="H16" s="5" t="s">
        <v>497</v>
      </c>
    </row>
    <row r="17" customFormat="false" ht="15" hidden="false" customHeight="false" outlineLevel="0" collapsed="false">
      <c r="A17" s="5" t="s">
        <v>18</v>
      </c>
      <c r="B17" s="11" t="n">
        <f aca="false">Inputs!$B$61*Inputs!$B$6/(Inputs!$B$31*Inputs!$B$32)</f>
        <v>9.59040959040959</v>
      </c>
      <c r="C17" s="34" t="n">
        <f aca="false">0</f>
        <v>0</v>
      </c>
      <c r="D17" s="11" t="n">
        <f aca="false">B17*Inputs!$B$31</f>
        <v>124.675324675325</v>
      </c>
      <c r="E17" s="14" t="n">
        <f aca="false">B17*(Inputs!$B$31*Inputs!$B$32)</f>
        <v>192000</v>
      </c>
      <c r="F17" s="11" t="n">
        <f aca="false">C17*Inputs!$B$31</f>
        <v>0</v>
      </c>
      <c r="G17" s="14" t="n">
        <f aca="false">C17*Inputs!$B$70</f>
        <v>0</v>
      </c>
      <c r="H17" s="5" t="s">
        <v>501</v>
      </c>
    </row>
    <row r="18" customFormat="false" ht="15" hidden="false" customHeight="false" outlineLevel="0" collapsed="false">
      <c r="A18" s="5" t="s">
        <v>502</v>
      </c>
      <c r="B18" s="11" t="n">
        <f aca="false">Inputs!$B$62*Inputs!$B$63*Inputs!$B$6/(Inputs!$B$31*Inputs!$B$32)</f>
        <v>19.1808191808192</v>
      </c>
      <c r="C18" s="34" t="n">
        <f aca="false">0</f>
        <v>0</v>
      </c>
      <c r="D18" s="11" t="n">
        <f aca="false">B18*Inputs!$B$31</f>
        <v>249.350649350649</v>
      </c>
      <c r="E18" s="14" t="n">
        <f aca="false">B18*(Inputs!$B$31*Inputs!$B$32)</f>
        <v>384000</v>
      </c>
      <c r="F18" s="11" t="n">
        <f aca="false">C18*Inputs!$B$31</f>
        <v>0</v>
      </c>
      <c r="G18" s="14" t="n">
        <f aca="false">C18*Inputs!$B$70</f>
        <v>0</v>
      </c>
      <c r="H18" s="5" t="s">
        <v>503</v>
      </c>
    </row>
    <row r="19" customFormat="false" ht="15" hidden="false" customHeight="false" outlineLevel="0" collapsed="false">
      <c r="A19" s="5" t="s">
        <v>209</v>
      </c>
      <c r="B19" s="11" t="n">
        <f aca="false">B6*Inputs!$B$64</f>
        <v>0.155076923076923</v>
      </c>
      <c r="C19" s="34" t="n">
        <f aca="false">0</f>
        <v>0</v>
      </c>
      <c r="D19" s="11" t="n">
        <f aca="false">B19*Inputs!$B$31</f>
        <v>2.016</v>
      </c>
      <c r="E19" s="14" t="n">
        <f aca="false">B19*(Inputs!$B$31*Inputs!$B$32)</f>
        <v>3104.64</v>
      </c>
      <c r="F19" s="11" t="n">
        <f aca="false">C19*Inputs!$B$31</f>
        <v>0</v>
      </c>
      <c r="G19" s="14" t="n">
        <f aca="false">C19*Inputs!$B$70</f>
        <v>0</v>
      </c>
      <c r="H19" s="5" t="s">
        <v>210</v>
      </c>
    </row>
    <row r="20" customFormat="false" ht="15" hidden="false" customHeight="false" outlineLevel="0" collapsed="false">
      <c r="A20" s="5" t="s">
        <v>504</v>
      </c>
      <c r="B20" s="11" t="n">
        <f aca="false">B6*Inputs!$B$65</f>
        <v>0.387692307692308</v>
      </c>
      <c r="C20" s="11" t="n">
        <f aca="false">C6*Inputs!$B$82*Inputs!$B$78/365</f>
        <v>0.362465753424658</v>
      </c>
      <c r="D20" s="11" t="n">
        <f aca="false">B20*Inputs!$B$31</f>
        <v>5.04</v>
      </c>
      <c r="E20" s="14" t="n">
        <f aca="false">B20*(Inputs!$B$31*Inputs!$B$32)</f>
        <v>7761.6</v>
      </c>
      <c r="F20" s="11" t="n">
        <f aca="false">C20*Inputs!$B$31</f>
        <v>4.71205479452055</v>
      </c>
      <c r="G20" s="14" t="n">
        <f aca="false">C20*Inputs!$B$70</f>
        <v>3262.19178082192</v>
      </c>
      <c r="H20" s="5" t="s">
        <v>505</v>
      </c>
    </row>
    <row r="21" customFormat="false" ht="15" hidden="false" customHeight="false" outlineLevel="0" collapsed="false">
      <c r="A21" s="5" t="s">
        <v>506</v>
      </c>
      <c r="B21" s="11" t="n">
        <f aca="false">B6*Inputs!$B$66</f>
        <v>1.55076923076923</v>
      </c>
      <c r="C21" s="11" t="n">
        <f aca="false">C6*Inputs!$B$77</f>
        <v>0.84</v>
      </c>
      <c r="D21" s="11" t="n">
        <f aca="false">B21*Inputs!$B$31</f>
        <v>20.16</v>
      </c>
      <c r="E21" s="14" t="n">
        <f aca="false">B21*(Inputs!$B$31*Inputs!$B$32)</f>
        <v>31046.4</v>
      </c>
      <c r="F21" s="11" t="n">
        <f aca="false">C21*Inputs!$B$31</f>
        <v>10.92</v>
      </c>
      <c r="G21" s="14" t="n">
        <f aca="false">C21*Inputs!$B$70</f>
        <v>7560</v>
      </c>
      <c r="H21" s="5" t="s">
        <v>213</v>
      </c>
    </row>
    <row r="22" customFormat="false" ht="15" hidden="false" customHeight="false" outlineLevel="0" collapsed="false">
      <c r="A22" s="5" t="s">
        <v>507</v>
      </c>
      <c r="B22" s="11" t="n">
        <f aca="false">-B6*N(Inputs!$B$67)</f>
        <v>-0</v>
      </c>
      <c r="C22" s="34" t="n">
        <f aca="false">0</f>
        <v>0</v>
      </c>
      <c r="D22" s="11" t="n">
        <f aca="false">B22*Inputs!$B$31</f>
        <v>-0</v>
      </c>
      <c r="E22" s="14" t="n">
        <f aca="false">B22*(Inputs!$B$31*Inputs!$B$32)</f>
        <v>-0</v>
      </c>
      <c r="F22" s="11" t="n">
        <f aca="false">C22*Inputs!$B$31</f>
        <v>0</v>
      </c>
      <c r="G22" s="14" t="n">
        <f aca="false">C22*Inputs!$B$70</f>
        <v>0</v>
      </c>
      <c r="H22" s="5" t="s">
        <v>508</v>
      </c>
    </row>
    <row r="23" customFormat="false" ht="15" hidden="false" customHeight="false" outlineLevel="0" collapsed="false">
      <c r="A23" s="9" t="s">
        <v>20</v>
      </c>
      <c r="B23" s="48" t="n">
        <f aca="false">SUM(B8:B22)</f>
        <v>57.790496111955</v>
      </c>
      <c r="C23" s="48" t="n">
        <f aca="false">SUM(C8:C22)</f>
        <v>24.6715956760134</v>
      </c>
      <c r="D23" s="49" t="n">
        <f aca="false">B23*Inputs!$B$31</f>
        <v>751.276449455415</v>
      </c>
      <c r="E23" s="50" t="n">
        <f aca="false">B23*(Inputs!$B$31*Inputs!$B$32)</f>
        <v>1156965.73216134</v>
      </c>
      <c r="F23" s="49" t="n">
        <f aca="false">C23*Inputs!$B$31</f>
        <v>320.730743788175</v>
      </c>
      <c r="G23" s="50" t="n">
        <f aca="false">C23*Inputs!$B$70</f>
        <v>222044.361084121</v>
      </c>
      <c r="H23" s="5"/>
    </row>
    <row r="24" customFormat="false" ht="15" hidden="false" customHeight="false" outlineLevel="0" collapsed="false">
      <c r="A24" s="9" t="s">
        <v>509</v>
      </c>
      <c r="B24" s="31" t="n">
        <f aca="false">B6-B23</f>
        <v>-6.09818841964728</v>
      </c>
      <c r="C24" s="31" t="n">
        <f aca="false">C6-C23</f>
        <v>3.32840432398656</v>
      </c>
      <c r="D24" s="12" t="n">
        <f aca="false">B24*Inputs!$B$31</f>
        <v>-79.2764494554146</v>
      </c>
      <c r="E24" s="47" t="n">
        <f aca="false">B24*(Inputs!$B$31*Inputs!$B$32)</f>
        <v>-122085.732161339</v>
      </c>
      <c r="F24" s="12" t="n">
        <f aca="false">C24*Inputs!$B$31</f>
        <v>43.2692562118253</v>
      </c>
      <c r="G24" s="47" t="n">
        <f aca="false">C24*Inputs!$B$70</f>
        <v>29955.638915879</v>
      </c>
      <c r="H24" s="5" t="s">
        <v>510</v>
      </c>
    </row>
    <row r="25" customFormat="false" ht="15" hidden="false" customHeight="false" outlineLevel="0" collapsed="false">
      <c r="A25" s="3" t="s">
        <v>511</v>
      </c>
      <c r="B25" s="4"/>
      <c r="C25" s="4"/>
      <c r="D25" s="4"/>
      <c r="E25" s="4"/>
      <c r="F25" s="4"/>
      <c r="G25" s="4"/>
      <c r="H25" s="4"/>
    </row>
    <row r="26" customFormat="false" ht="15" hidden="false" customHeight="false" outlineLevel="0" collapsed="false">
      <c r="A26" s="5" t="s">
        <v>512</v>
      </c>
      <c r="B26" s="11" t="n">
        <f aca="false">'Packhouse Opex'!$G$20</f>
        <v>1.97666404526477</v>
      </c>
      <c r="C26" s="11" t="n">
        <f aca="false">'Packhouse Opex'!$G$20</f>
        <v>1.97666404526477</v>
      </c>
      <c r="D26" s="11" t="n">
        <f aca="false">B26*Inputs!$B$31</f>
        <v>25.6966325884419</v>
      </c>
      <c r="E26" s="14" t="n">
        <f aca="false">B26*(Inputs!$B$31*Inputs!$B$32)</f>
        <v>39572.8141862006</v>
      </c>
      <c r="F26" s="11" t="n">
        <f aca="false">C26*Inputs!$B$31</f>
        <v>25.6966325884419</v>
      </c>
      <c r="G26" s="14" t="n">
        <f aca="false">C26*Inputs!$B$70</f>
        <v>17789.9764073829</v>
      </c>
      <c r="H26" s="5" t="s">
        <v>491</v>
      </c>
    </row>
    <row r="27" customFormat="false" ht="15" hidden="false" customHeight="false" outlineLevel="0" collapsed="false">
      <c r="A27" s="5" t="s">
        <v>513</v>
      </c>
      <c r="B27" s="11" t="n">
        <f aca="false">'Packhouse Capex'!$J$16/('Volumes &amp; Seasonality'!$B$13*1000)</f>
        <v>0.668687517821468</v>
      </c>
      <c r="C27" s="11" t="n">
        <f aca="false">'Packhouse Capex'!$J$16/('Volumes &amp; Seasonality'!$B$13*1000)</f>
        <v>0.668687517821468</v>
      </c>
      <c r="D27" s="11" t="n">
        <f aca="false">B27*Inputs!$B$31</f>
        <v>8.69293773167908</v>
      </c>
      <c r="E27" s="14" t="n">
        <f aca="false">B27*(Inputs!$B$31*Inputs!$B$32)</f>
        <v>13387.1241067858</v>
      </c>
      <c r="F27" s="11" t="n">
        <f aca="false">C27*Inputs!$B$31</f>
        <v>8.69293773167908</v>
      </c>
      <c r="G27" s="14" t="n">
        <f aca="false">C27*Inputs!$B$70</f>
        <v>6018.18766039321</v>
      </c>
      <c r="H27" s="5" t="s">
        <v>514</v>
      </c>
    </row>
    <row r="28" customFormat="false" ht="15" hidden="false" customHeight="false" outlineLevel="0" collapsed="false">
      <c r="A28" s="5" t="s">
        <v>515</v>
      </c>
      <c r="B28" s="11" t="n">
        <f aca="false">'Packhouse Capex'!$B$26/('Volumes &amp; Seasonality'!$B$13*1000)</f>
        <v>0.201063814382144</v>
      </c>
      <c r="C28" s="11" t="n">
        <f aca="false">'Packhouse Capex'!$B$26/('Volumes &amp; Seasonality'!$B$13*1000)</f>
        <v>0.201063814382144</v>
      </c>
      <c r="D28" s="11" t="n">
        <f aca="false">B28*Inputs!$B$31</f>
        <v>2.61382958696787</v>
      </c>
      <c r="E28" s="14" t="n">
        <f aca="false">B28*(Inputs!$B$31*Inputs!$B$32)</f>
        <v>4025.29756393052</v>
      </c>
      <c r="F28" s="11" t="n">
        <f aca="false">C28*Inputs!$B$31</f>
        <v>2.61382958696787</v>
      </c>
      <c r="G28" s="14" t="n">
        <f aca="false">C28*Inputs!$B$70</f>
        <v>1809.5743294393</v>
      </c>
      <c r="H28" s="5" t="s">
        <v>514</v>
      </c>
    </row>
    <row r="29" customFormat="false" ht="15" hidden="false" customHeight="false" outlineLevel="0" collapsed="false">
      <c r="A29" s="9" t="s">
        <v>516</v>
      </c>
      <c r="B29" s="48" t="n">
        <f aca="false">B23+SUM(B26:B28)</f>
        <v>60.6369114894234</v>
      </c>
      <c r="C29" s="48" t="n">
        <f aca="false">C23+SUM(C26:C28)</f>
        <v>27.5180110534818</v>
      </c>
      <c r="D29" s="49" t="n">
        <f aca="false">B29*Inputs!$B$31</f>
        <v>788.279849362504</v>
      </c>
      <c r="E29" s="50" t="n">
        <f aca="false">B29*(Inputs!$B$31*Inputs!$B$32)</f>
        <v>1213950.96801826</v>
      </c>
      <c r="F29" s="49" t="n">
        <f aca="false">C29*Inputs!$B$31</f>
        <v>357.734143695264</v>
      </c>
      <c r="G29" s="50" t="n">
        <f aca="false">C29*Inputs!$B$70</f>
        <v>247662.099481336</v>
      </c>
      <c r="H29" s="5"/>
    </row>
    <row r="30" customFormat="false" ht="15" hidden="false" customHeight="false" outlineLevel="0" collapsed="false">
      <c r="A30" s="9" t="s">
        <v>517</v>
      </c>
      <c r="B30" s="31" t="n">
        <f aca="false">B6-B29</f>
        <v>-8.94460379711565</v>
      </c>
      <c r="C30" s="31" t="n">
        <f aca="false">C6-C29</f>
        <v>0.481988946518186</v>
      </c>
      <c r="D30" s="12" t="n">
        <f aca="false">B30*Inputs!$B$31</f>
        <v>-116.279849362504</v>
      </c>
      <c r="E30" s="47" t="n">
        <f aca="false">B30*(Inputs!$B$31*Inputs!$B$32)</f>
        <v>-179070.968018255</v>
      </c>
      <c r="F30" s="12" t="n">
        <f aca="false">C30*Inputs!$B$31</f>
        <v>6.26585630473642</v>
      </c>
      <c r="G30" s="47" t="n">
        <f aca="false">C30*Inputs!$B$70</f>
        <v>4337.90051866367</v>
      </c>
      <c r="H30" s="5" t="s">
        <v>518</v>
      </c>
    </row>
    <row r="31" customFormat="false" ht="15" hidden="false" customHeight="false" outlineLevel="0" collapsed="false">
      <c r="A31" s="9" t="s">
        <v>519</v>
      </c>
      <c r="B31" s="51" t="n">
        <f aca="false">IF(B6=0,0,B30/B6)</f>
        <v>-0.173035490122773</v>
      </c>
      <c r="C31" s="51" t="n">
        <f aca="false">IF(C6=0,0,C30/C6)</f>
        <v>0.0172138909470781</v>
      </c>
    </row>
    <row r="32" customFormat="false" ht="15" hidden="false" customHeight="false" outlineLevel="0" collapsed="false">
      <c r="A32" s="9" t="s">
        <v>520</v>
      </c>
      <c r="B32" s="34" t="n">
        <f aca="false">B29</f>
        <v>60.6369114894234</v>
      </c>
      <c r="C32" s="34" t="n">
        <f aca="false">C29</f>
        <v>27.5180110534818</v>
      </c>
      <c r="D32" s="52" t="n">
        <f aca="false">B32*Inputs!$B$31/Inputs!$B$6</f>
        <v>8.21124843085941</v>
      </c>
      <c r="H32" s="5" t="s">
        <v>521</v>
      </c>
    </row>
    <row r="34" customFormat="false" ht="15" hidden="false" customHeight="false" outlineLevel="0" collapsed="false">
      <c r="A34" s="3" t="s">
        <v>522</v>
      </c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5" t="s">
        <v>523</v>
      </c>
      <c r="B35" s="11" t="n">
        <f aca="false">Inputs!$B$30*B6+(1-Inputs!$B$30)*C6</f>
        <v>33.9230769230769</v>
      </c>
    </row>
    <row r="36" customFormat="false" ht="15" hidden="false" customHeight="false" outlineLevel="0" collapsed="false">
      <c r="A36" s="5" t="s">
        <v>524</v>
      </c>
      <c r="B36" s="11" t="n">
        <f aca="false">Inputs!$B$30*B29+(1-Inputs!$B$30)*C29</f>
        <v>35.7977361624672</v>
      </c>
    </row>
    <row r="37" customFormat="false" ht="15" hidden="false" customHeight="false" outlineLevel="0" collapsed="false">
      <c r="A37" s="9" t="s">
        <v>525</v>
      </c>
      <c r="B37" s="31" t="n">
        <f aca="false">B35-B36</f>
        <v>-1.87465923939028</v>
      </c>
    </row>
    <row r="38" customFormat="false" ht="15" hidden="false" customHeight="false" outlineLevel="0" collapsed="false">
      <c r="A38" s="5" t="s">
        <v>526</v>
      </c>
      <c r="B38" s="22" t="n">
        <v>33.15</v>
      </c>
      <c r="H38" s="5" t="s">
        <v>527</v>
      </c>
    </row>
    <row r="39" customFormat="false" ht="15" hidden="false" customHeight="false" outlineLevel="0" collapsed="false">
      <c r="A39" s="5" t="s">
        <v>528</v>
      </c>
      <c r="B39" s="34" t="n">
        <f aca="false">B23-B8-B18-B19-B20-B21-B22</f>
        <v>27.0924269766176</v>
      </c>
      <c r="H39" s="5" t="s">
        <v>529</v>
      </c>
    </row>
    <row r="41" customFormat="false" ht="15" hidden="false" customHeight="false" outlineLevel="0" collapsed="false">
      <c r="A41" s="3" t="s">
        <v>530</v>
      </c>
      <c r="B41" s="4"/>
      <c r="C41" s="4"/>
      <c r="D41" s="4"/>
      <c r="E41" s="4"/>
      <c r="F41" s="4"/>
      <c r="G41" s="4"/>
      <c r="H41" s="4"/>
    </row>
    <row r="42" customFormat="false" ht="15" hidden="false" customHeight="false" outlineLevel="0" collapsed="false">
      <c r="A42" s="5" t="s">
        <v>531</v>
      </c>
      <c r="B42" s="34" t="n">
        <f aca="false">B29-B18-B19-B20-B21-B22</f>
        <v>39.3625538470657</v>
      </c>
    </row>
    <row r="43" customFormat="false" ht="15" hidden="false" customHeight="false" outlineLevel="0" collapsed="false">
      <c r="A43" s="5" t="s">
        <v>532</v>
      </c>
      <c r="B43" s="43" t="n">
        <f aca="false">Inputs!$B$64+Inputs!$B$65+Inputs!$B$66-N(Inputs!$B$67)</f>
        <v>0.0405</v>
      </c>
    </row>
    <row r="44" customFormat="false" ht="15" hidden="false" customHeight="false" outlineLevel="0" collapsed="false">
      <c r="A44" s="8" t="s">
        <v>533</v>
      </c>
      <c r="B44" s="27" t="n">
        <v>0</v>
      </c>
      <c r="C44" s="27" t="n">
        <v>1500</v>
      </c>
      <c r="D44" s="27" t="n">
        <v>3000</v>
      </c>
      <c r="E44" s="27" t="n">
        <v>4000</v>
      </c>
      <c r="F44" s="27" t="n">
        <v>4800</v>
      </c>
    </row>
    <row r="45" customFormat="false" ht="15" hidden="false" customHeight="false" outlineLevel="0" collapsed="false">
      <c r="A45" s="26" t="n">
        <v>5</v>
      </c>
      <c r="B45" s="11" t="n">
        <f aca="false">$A45*Inputs!$B$6/Inputs!$B$31*(1-$B$43)-$B$42-B$44*Inputs!$B$6/(Inputs!$B$31*Inputs!$B$32)</f>
        <v>-3.9348615393734</v>
      </c>
      <c r="C45" s="11" t="n">
        <f aca="false">$A45*Inputs!$B$6/Inputs!$B$31*(1-$B$43)-$B$42-C$44*Inputs!$B$6/(Inputs!$B$31*Inputs!$B$32)</f>
        <v>-11.1276687321806</v>
      </c>
      <c r="D45" s="11" t="n">
        <f aca="false">$A45*Inputs!$B$6/Inputs!$B$31*(1-$B$43)-$B$42-D$44*Inputs!$B$6/(Inputs!$B$31*Inputs!$B$32)</f>
        <v>-18.3204759249878</v>
      </c>
      <c r="E45" s="11" t="n">
        <f aca="false">$A45*Inputs!$B$6/Inputs!$B$31*(1-$B$43)-$B$42-E$44*Inputs!$B$6/(Inputs!$B$31*Inputs!$B$32)</f>
        <v>-23.1156807201926</v>
      </c>
      <c r="F45" s="11" t="n">
        <f aca="false">$A45*Inputs!$B$6/Inputs!$B$31*(1-$B$43)-$B$42-F$44*Inputs!$B$6/(Inputs!$B$31*Inputs!$B$32)</f>
        <v>-26.9518445563564</v>
      </c>
    </row>
    <row r="46" customFormat="false" ht="15" hidden="false" customHeight="false" outlineLevel="0" collapsed="false">
      <c r="A46" s="26" t="n">
        <v>5.5</v>
      </c>
      <c r="B46" s="11" t="n">
        <f aca="false">$A46*Inputs!$B$6/Inputs!$B$31*(1-$B$43)-$B$42-B$44*Inputs!$B$6/(Inputs!$B$31*Inputs!$B$32)</f>
        <v>-0.39209230860417</v>
      </c>
      <c r="C46" s="11" t="n">
        <f aca="false">$A46*Inputs!$B$6/Inputs!$B$31*(1-$B$43)-$B$42-C$44*Inputs!$B$6/(Inputs!$B$31*Inputs!$B$32)</f>
        <v>-7.58489950141136</v>
      </c>
      <c r="D46" s="11" t="n">
        <f aca="false">$A46*Inputs!$B$6/Inputs!$B$31*(1-$B$43)-$B$42-D$44*Inputs!$B$6/(Inputs!$B$31*Inputs!$B$32)</f>
        <v>-14.7777066942186</v>
      </c>
      <c r="E46" s="11" t="n">
        <f aca="false">$A46*Inputs!$B$6/Inputs!$B$31*(1-$B$43)-$B$42-E$44*Inputs!$B$6/(Inputs!$B$31*Inputs!$B$32)</f>
        <v>-19.5729114894234</v>
      </c>
      <c r="F46" s="11" t="n">
        <f aca="false">$A46*Inputs!$B$6/Inputs!$B$31*(1-$B$43)-$B$42-F$44*Inputs!$B$6/(Inputs!$B$31*Inputs!$B$32)</f>
        <v>-23.4090753255872</v>
      </c>
    </row>
    <row r="47" customFormat="false" ht="15" hidden="false" customHeight="false" outlineLevel="0" collapsed="false">
      <c r="A47" s="26" t="n">
        <v>6</v>
      </c>
      <c r="B47" s="11" t="n">
        <f aca="false">$A47*Inputs!$B$6/Inputs!$B$31*(1-$B$43)-$B$42-B$44*Inputs!$B$6/(Inputs!$B$31*Inputs!$B$32)</f>
        <v>3.15067692216506</v>
      </c>
      <c r="C47" s="11" t="n">
        <f aca="false">$A47*Inputs!$B$6/Inputs!$B$31*(1-$B$43)-$B$42-C$44*Inputs!$B$6/(Inputs!$B$31*Inputs!$B$32)</f>
        <v>-4.04213027064213</v>
      </c>
      <c r="D47" s="11" t="n">
        <f aca="false">$A47*Inputs!$B$6/Inputs!$B$31*(1-$B$43)-$B$42-D$44*Inputs!$B$6/(Inputs!$B$31*Inputs!$B$32)</f>
        <v>-11.2349374634493</v>
      </c>
      <c r="E47" s="11" t="n">
        <f aca="false">$A47*Inputs!$B$6/Inputs!$B$31*(1-$B$43)-$B$42-E$44*Inputs!$B$6/(Inputs!$B$31*Inputs!$B$32)</f>
        <v>-16.0301422586541</v>
      </c>
      <c r="F47" s="11" t="n">
        <f aca="false">$A47*Inputs!$B$6/Inputs!$B$31*(1-$B$43)-$B$42-F$44*Inputs!$B$6/(Inputs!$B$31*Inputs!$B$32)</f>
        <v>-19.866306094818</v>
      </c>
    </row>
    <row r="48" customFormat="false" ht="15" hidden="false" customHeight="false" outlineLevel="0" collapsed="false">
      <c r="A48" s="26" t="n">
        <v>6.5</v>
      </c>
      <c r="B48" s="11" t="n">
        <f aca="false">$A48*Inputs!$B$6/Inputs!$B$31*(1-$B$43)-$B$42-B$44*Inputs!$B$6/(Inputs!$B$31*Inputs!$B$32)</f>
        <v>6.69344615293429</v>
      </c>
      <c r="C48" s="11" t="n">
        <f aca="false">$A48*Inputs!$B$6/Inputs!$B$31*(1-$B$43)-$B$42-C$44*Inputs!$B$6/(Inputs!$B$31*Inputs!$B$32)</f>
        <v>-0.4993610398729</v>
      </c>
      <c r="D48" s="11" t="n">
        <f aca="false">$A48*Inputs!$B$6/Inputs!$B$31*(1-$B$43)-$B$42-D$44*Inputs!$B$6/(Inputs!$B$31*Inputs!$B$32)</f>
        <v>-7.69216823268009</v>
      </c>
      <c r="E48" s="11" t="n">
        <f aca="false">$A48*Inputs!$B$6/Inputs!$B$31*(1-$B$43)-$B$42-E$44*Inputs!$B$6/(Inputs!$B$31*Inputs!$B$32)</f>
        <v>-12.4873730278849</v>
      </c>
      <c r="F48" s="11" t="n">
        <f aca="false">$A48*Inputs!$B$6/Inputs!$B$31*(1-$B$43)-$B$42-F$44*Inputs!$B$6/(Inputs!$B$31*Inputs!$B$32)</f>
        <v>-16.3235368640487</v>
      </c>
    </row>
    <row r="49" customFormat="false" ht="15" hidden="false" customHeight="false" outlineLevel="0" collapsed="false">
      <c r="A49" s="26" t="n">
        <v>7</v>
      </c>
      <c r="B49" s="11" t="n">
        <f aca="false">$A49*Inputs!$B$6/Inputs!$B$31*(1-$B$43)-$B$42-B$44*Inputs!$B$6/(Inputs!$B$31*Inputs!$B$32)</f>
        <v>10.2362153837035</v>
      </c>
      <c r="C49" s="11" t="n">
        <f aca="false">$A49*Inputs!$B$6/Inputs!$B$31*(1-$B$43)-$B$42-C$44*Inputs!$B$6/(Inputs!$B$31*Inputs!$B$32)</f>
        <v>3.04340819089634</v>
      </c>
      <c r="D49" s="11" t="n">
        <f aca="false">$A49*Inputs!$B$6/Inputs!$B$31*(1-$B$43)-$B$42-D$44*Inputs!$B$6/(Inputs!$B$31*Inputs!$B$32)</f>
        <v>-4.14939900191085</v>
      </c>
      <c r="E49" s="11" t="n">
        <f aca="false">$A49*Inputs!$B$6/Inputs!$B$31*(1-$B$43)-$B$42-E$44*Inputs!$B$6/(Inputs!$B$31*Inputs!$B$32)</f>
        <v>-8.94460379711565</v>
      </c>
      <c r="F49" s="11" t="n">
        <f aca="false">$A49*Inputs!$B$6/Inputs!$B$31*(1-$B$43)-$B$42-F$44*Inputs!$B$6/(Inputs!$B$31*Inputs!$B$32)</f>
        <v>-12.7807676332795</v>
      </c>
    </row>
    <row r="50" customFormat="false" ht="15" hidden="false" customHeight="false" outlineLevel="0" collapsed="false">
      <c r="A50" s="26" t="n">
        <v>7.5</v>
      </c>
      <c r="B50" s="11" t="n">
        <f aca="false">$A50*Inputs!$B$6/Inputs!$B$31*(1-$B$43)-$B$42-B$44*Inputs!$B$6/(Inputs!$B$31*Inputs!$B$32)</f>
        <v>13.7789846144728</v>
      </c>
      <c r="C50" s="11" t="n">
        <f aca="false">$A50*Inputs!$B$6/Inputs!$B$31*(1-$B$43)-$B$42-C$44*Inputs!$B$6/(Inputs!$B$31*Inputs!$B$32)</f>
        <v>6.58617742166557</v>
      </c>
      <c r="D50" s="11" t="n">
        <f aca="false">$A50*Inputs!$B$6/Inputs!$B$31*(1-$B$43)-$B$42-D$44*Inputs!$B$6/(Inputs!$B$31*Inputs!$B$32)</f>
        <v>-0.606629771141623</v>
      </c>
      <c r="E50" s="11" t="n">
        <f aca="false">$A50*Inputs!$B$6/Inputs!$B$31*(1-$B$43)-$B$42-E$44*Inputs!$B$6/(Inputs!$B$31*Inputs!$B$32)</f>
        <v>-5.40183456634642</v>
      </c>
      <c r="F50" s="11" t="n">
        <f aca="false">$A50*Inputs!$B$6/Inputs!$B$31*(1-$B$43)-$B$42-F$44*Inputs!$B$6/(Inputs!$B$31*Inputs!$B$32)</f>
        <v>-9.23799840251025</v>
      </c>
    </row>
    <row r="51" customFormat="false" ht="15" hidden="false" customHeight="false" outlineLevel="0" collapsed="false">
      <c r="A51" s="26" t="n">
        <v>8</v>
      </c>
      <c r="B51" s="11" t="n">
        <f aca="false">$A51*Inputs!$B$6/Inputs!$B$31*(1-$B$43)-$B$42-B$44*Inputs!$B$6/(Inputs!$B$31*Inputs!$B$32)</f>
        <v>17.321753845242</v>
      </c>
      <c r="C51" s="11" t="n">
        <f aca="false">$A51*Inputs!$B$6/Inputs!$B$31*(1-$B$43)-$B$42-C$44*Inputs!$B$6/(Inputs!$B$31*Inputs!$B$32)</f>
        <v>10.1289466524348</v>
      </c>
      <c r="D51" s="11" t="n">
        <f aca="false">$A51*Inputs!$B$6/Inputs!$B$31*(1-$B$43)-$B$42-D$44*Inputs!$B$6/(Inputs!$B$31*Inputs!$B$32)</f>
        <v>2.93613945962761</v>
      </c>
      <c r="E51" s="11" t="n">
        <f aca="false">$A51*Inputs!$B$6/Inputs!$B$31*(1-$B$43)-$B$42-E$44*Inputs!$B$6/(Inputs!$B$31*Inputs!$B$32)</f>
        <v>-1.85906533557719</v>
      </c>
      <c r="F51" s="11" t="n">
        <f aca="false">$A51*Inputs!$B$6/Inputs!$B$31*(1-$B$43)-$B$42-F$44*Inputs!$B$6/(Inputs!$B$31*Inputs!$B$32)</f>
        <v>-5.69522917174102</v>
      </c>
    </row>
    <row r="52" customFormat="false" ht="15" hidden="false" customHeight="false" outlineLevel="0" collapsed="false">
      <c r="A52" s="26" t="n">
        <v>9</v>
      </c>
      <c r="B52" s="11" t="n">
        <f aca="false">$A52*Inputs!$B$6/Inputs!$B$31*(1-$B$43)-$B$42-B$44*Inputs!$B$6/(Inputs!$B$31*Inputs!$B$32)</f>
        <v>24.4072923067805</v>
      </c>
      <c r="C52" s="11" t="n">
        <f aca="false">$A52*Inputs!$B$6/Inputs!$B$31*(1-$B$43)-$B$42-C$44*Inputs!$B$6/(Inputs!$B$31*Inputs!$B$32)</f>
        <v>17.2144851139733</v>
      </c>
      <c r="D52" s="11" t="n">
        <f aca="false">$A52*Inputs!$B$6/Inputs!$B$31*(1-$B$43)-$B$42-D$44*Inputs!$B$6/(Inputs!$B$31*Inputs!$B$32)</f>
        <v>10.0216779211661</v>
      </c>
      <c r="E52" s="11" t="n">
        <f aca="false">$A52*Inputs!$B$6/Inputs!$B$31*(1-$B$43)-$B$42-E$44*Inputs!$B$6/(Inputs!$B$31*Inputs!$B$32)</f>
        <v>5.22647312596127</v>
      </c>
      <c r="F52" s="11" t="n">
        <f aca="false">$A52*Inputs!$B$6/Inputs!$B$31*(1-$B$43)-$B$42-F$44*Inputs!$B$6/(Inputs!$B$31*Inputs!$B$32)</f>
        <v>1.39030928979744</v>
      </c>
    </row>
    <row r="54" customFormat="false" ht="15" hidden="false" customHeight="false" outlineLevel="0" collapsed="false">
      <c r="A54" s="3" t="s">
        <v>534</v>
      </c>
      <c r="B54" s="4"/>
      <c r="C54" s="4"/>
      <c r="D54" s="4"/>
      <c r="E54" s="4"/>
      <c r="F54" s="4"/>
      <c r="G54" s="4"/>
      <c r="H54" s="4"/>
    </row>
    <row r="55" customFormat="false" ht="15" hidden="false" customHeight="false" outlineLevel="0" collapsed="false">
      <c r="A55" s="5" t="s">
        <v>535</v>
      </c>
      <c r="B55" s="34" t="n">
        <f aca="false">C29-C20-C21</f>
        <v>26.3155453000572</v>
      </c>
    </row>
    <row r="56" customFormat="false" ht="15" hidden="false" customHeight="false" outlineLevel="0" collapsed="false">
      <c r="A56" s="5" t="s">
        <v>536</v>
      </c>
      <c r="B56" s="43" t="n">
        <f aca="false">Inputs!$B$77+Inputs!$B$82*Inputs!$B$78/365</f>
        <v>0.0429452054794521</v>
      </c>
    </row>
    <row r="57" customFormat="false" ht="15" hidden="false" customHeight="false" outlineLevel="0" collapsed="false">
      <c r="A57" s="8" t="s">
        <v>537</v>
      </c>
      <c r="B57" s="18" t="n">
        <v>20</v>
      </c>
      <c r="C57" s="18" t="n">
        <v>22</v>
      </c>
      <c r="D57" s="18" t="n">
        <v>24</v>
      </c>
      <c r="E57" s="18" t="n">
        <v>26</v>
      </c>
      <c r="F57" s="18" t="n">
        <v>28</v>
      </c>
      <c r="G57" s="18" t="n">
        <v>30</v>
      </c>
      <c r="H57" s="18" t="n">
        <v>32</v>
      </c>
      <c r="I57" s="18" t="n">
        <v>34</v>
      </c>
    </row>
    <row r="58" customFormat="false" ht="15" hidden="false" customHeight="false" outlineLevel="0" collapsed="false">
      <c r="A58" s="8" t="s">
        <v>538</v>
      </c>
      <c r="B58" s="34" t="n">
        <f aca="false">B57*(1-$B$56)-$B$55</f>
        <v>-7.1744494096462</v>
      </c>
      <c r="C58" s="34" t="n">
        <f aca="false">C57*(1-$B$56)-$B$55</f>
        <v>-5.2603398206051</v>
      </c>
      <c r="D58" s="34" t="n">
        <f aca="false">D57*(1-$B$56)-$B$55</f>
        <v>-3.346230231564</v>
      </c>
      <c r="E58" s="34" t="n">
        <f aca="false">E57*(1-$B$56)-$B$55</f>
        <v>-1.43212064252291</v>
      </c>
      <c r="F58" s="34" t="n">
        <f aca="false">F57*(1-$B$56)-$B$55</f>
        <v>0.481988946518186</v>
      </c>
      <c r="G58" s="34" t="n">
        <f aca="false">G57*(1-$B$56)-$B$55</f>
        <v>2.39609853555928</v>
      </c>
      <c r="H58" s="34" t="n">
        <f aca="false">H57*(1-$B$56)-$B$55</f>
        <v>4.31020812460038</v>
      </c>
      <c r="I58" s="34" t="n">
        <f aca="false">I57*(1-$B$56)-$B$55</f>
        <v>6.22431771364147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539</v>
      </c>
    </row>
    <row r="2" customFormat="false" ht="15" hidden="false" customHeight="false" outlineLevel="0" collapsed="false">
      <c r="A2" s="2" t="s">
        <v>540</v>
      </c>
    </row>
    <row r="4" customFormat="false" ht="15" hidden="false" customHeight="false" outlineLevel="0" collapsed="false">
      <c r="A4" s="17" t="s">
        <v>320</v>
      </c>
      <c r="B4" s="17" t="s">
        <v>61</v>
      </c>
      <c r="C4" s="17" t="s">
        <v>62</v>
      </c>
      <c r="D4" s="17" t="s">
        <v>65</v>
      </c>
      <c r="E4" s="17" t="s">
        <v>257</v>
      </c>
    </row>
    <row r="5" customFormat="false" ht="15" hidden="false" customHeight="false" outlineLevel="0" collapsed="false">
      <c r="A5" s="3" t="s">
        <v>541</v>
      </c>
      <c r="B5" s="4"/>
      <c r="C5" s="4"/>
      <c r="D5" s="4"/>
      <c r="E5" s="4"/>
    </row>
    <row r="6" customFormat="false" ht="15" hidden="false" customHeight="false" outlineLevel="0" collapsed="false">
      <c r="A6" s="5" t="s">
        <v>542</v>
      </c>
      <c r="B6" s="6" t="n">
        <f aca="false">'Volumes &amp; Seasonality'!$B$10</f>
        <v>361.309090909091</v>
      </c>
      <c r="C6" s="5" t="s">
        <v>327</v>
      </c>
      <c r="D6" s="5"/>
      <c r="E6" s="5" t="s">
        <v>543</v>
      </c>
    </row>
    <row r="7" customFormat="false" ht="15" hidden="false" customHeight="false" outlineLevel="0" collapsed="false">
      <c r="A7" s="5" t="s">
        <v>544</v>
      </c>
      <c r="B7" s="23" t="n">
        <v>0.8</v>
      </c>
      <c r="C7" s="5" t="s">
        <v>137</v>
      </c>
      <c r="D7" s="5" t="s">
        <v>74</v>
      </c>
      <c r="E7" s="5" t="s">
        <v>545</v>
      </c>
    </row>
    <row r="8" customFormat="false" ht="15" hidden="false" customHeight="false" outlineLevel="0" collapsed="false">
      <c r="A8" s="5" t="s">
        <v>546</v>
      </c>
      <c r="B8" s="53" t="n">
        <v>5</v>
      </c>
      <c r="C8" s="5" t="s">
        <v>547</v>
      </c>
      <c r="D8" s="5" t="s">
        <v>70</v>
      </c>
      <c r="E8" s="5" t="s">
        <v>548</v>
      </c>
    </row>
    <row r="9" customFormat="false" ht="15" hidden="false" customHeight="false" outlineLevel="0" collapsed="false">
      <c r="A9" s="5" t="s">
        <v>549</v>
      </c>
      <c r="B9" s="37" t="n">
        <f aca="false">$B$6*$B$7*1000/$B$8</f>
        <v>57809.4545454546</v>
      </c>
      <c r="C9" s="5" t="s">
        <v>550</v>
      </c>
      <c r="D9" s="5"/>
      <c r="E9" s="5"/>
    </row>
    <row r="10" customFormat="false" ht="15" hidden="false" customHeight="false" outlineLevel="0" collapsed="false">
      <c r="A10" s="5" t="s">
        <v>551</v>
      </c>
      <c r="B10" s="18" t="n">
        <v>180</v>
      </c>
      <c r="C10" s="5" t="s">
        <v>222</v>
      </c>
      <c r="D10" s="5" t="s">
        <v>89</v>
      </c>
      <c r="E10" s="5" t="s">
        <v>552</v>
      </c>
    </row>
    <row r="11" customFormat="false" ht="15" hidden="false" customHeight="false" outlineLevel="0" collapsed="false">
      <c r="A11" s="5" t="s">
        <v>553</v>
      </c>
      <c r="B11" s="53" t="n">
        <v>4</v>
      </c>
      <c r="C11" s="5" t="s">
        <v>554</v>
      </c>
      <c r="D11" s="5" t="s">
        <v>74</v>
      </c>
      <c r="E11" s="5" t="s">
        <v>555</v>
      </c>
    </row>
    <row r="12" customFormat="false" ht="15" hidden="false" customHeight="false" outlineLevel="0" collapsed="false">
      <c r="A12" s="5" t="s">
        <v>556</v>
      </c>
      <c r="B12" s="18" t="n">
        <v>20</v>
      </c>
      <c r="C12" s="5" t="s">
        <v>557</v>
      </c>
      <c r="D12" s="5" t="s">
        <v>74</v>
      </c>
      <c r="E12" s="5"/>
    </row>
    <row r="13" customFormat="false" ht="15" hidden="false" customHeight="false" outlineLevel="0" collapsed="false">
      <c r="A13" s="5" t="s">
        <v>558</v>
      </c>
      <c r="B13" s="18" t="n">
        <v>8</v>
      </c>
      <c r="C13" s="5" t="s">
        <v>557</v>
      </c>
      <c r="D13" s="5" t="s">
        <v>74</v>
      </c>
      <c r="E13" s="5"/>
    </row>
    <row r="14" customFormat="false" ht="15" hidden="false" customHeight="false" outlineLevel="0" collapsed="false">
      <c r="A14" s="5" t="s">
        <v>559</v>
      </c>
      <c r="B14" s="18" t="n">
        <v>5</v>
      </c>
      <c r="C14" s="5" t="s">
        <v>557</v>
      </c>
      <c r="D14" s="5" t="s">
        <v>74</v>
      </c>
      <c r="E14" s="5"/>
    </row>
    <row r="15" customFormat="false" ht="15" hidden="false" customHeight="false" outlineLevel="0" collapsed="false">
      <c r="A15" s="5" t="s">
        <v>560</v>
      </c>
      <c r="B15" s="18" t="n">
        <v>600000</v>
      </c>
      <c r="C15" s="5" t="s">
        <v>453</v>
      </c>
      <c r="D15" s="5" t="s">
        <v>74</v>
      </c>
      <c r="E15" s="5"/>
    </row>
    <row r="16" customFormat="false" ht="15" hidden="false" customHeight="false" outlineLevel="0" collapsed="false">
      <c r="A16" s="5" t="s">
        <v>561</v>
      </c>
      <c r="B16" s="18" t="n">
        <v>2500000</v>
      </c>
      <c r="C16" s="5" t="s">
        <v>248</v>
      </c>
      <c r="D16" s="5" t="s">
        <v>74</v>
      </c>
      <c r="E16" s="5" t="s">
        <v>562</v>
      </c>
    </row>
    <row r="17" customFormat="false" ht="15" hidden="false" customHeight="false" outlineLevel="0" collapsed="false">
      <c r="A17" s="5" t="s">
        <v>563</v>
      </c>
      <c r="B17" s="19" t="n">
        <v>10</v>
      </c>
      <c r="C17" s="5" t="s">
        <v>122</v>
      </c>
      <c r="D17" s="5" t="s">
        <v>74</v>
      </c>
      <c r="E17" s="5"/>
    </row>
    <row r="18" customFormat="false" ht="15" hidden="false" customHeight="false" outlineLevel="0" collapsed="false">
      <c r="A18" s="5" t="s">
        <v>564</v>
      </c>
      <c r="B18" s="22" t="n">
        <v>8</v>
      </c>
      <c r="C18" s="5" t="s">
        <v>565</v>
      </c>
      <c r="D18" s="5" t="s">
        <v>74</v>
      </c>
      <c r="E18" s="5" t="s">
        <v>566</v>
      </c>
    </row>
    <row r="19" customFormat="false" ht="15" hidden="false" customHeight="false" outlineLevel="0" collapsed="false">
      <c r="A19" s="9" t="s">
        <v>485</v>
      </c>
      <c r="B19" s="33" t="n">
        <f aca="false">$B$9*$B$10</f>
        <v>10405701.8181818</v>
      </c>
      <c r="C19" s="5" t="s">
        <v>453</v>
      </c>
      <c r="D19" s="5"/>
      <c r="E19" s="5"/>
    </row>
    <row r="20" customFormat="false" ht="15" hidden="false" customHeight="false" outlineLevel="0" collapsed="false">
      <c r="A20" s="5" t="s">
        <v>567</v>
      </c>
      <c r="B20" s="14" t="n">
        <f aca="false">$B$9*($B$11*Inputs!$B$45+$B$12+$B$13+$B$14)</f>
        <v>3873233.45454546</v>
      </c>
      <c r="C20" s="5" t="s">
        <v>453</v>
      </c>
      <c r="D20" s="5"/>
      <c r="E20" s="5"/>
    </row>
    <row r="21" customFormat="false" ht="15" hidden="false" customHeight="false" outlineLevel="0" collapsed="false">
      <c r="A21" s="9" t="s">
        <v>33</v>
      </c>
      <c r="B21" s="30" t="n">
        <f aca="false">$B$19-$B$20-$B$15</f>
        <v>5932468.36363636</v>
      </c>
      <c r="C21" s="5" t="s">
        <v>453</v>
      </c>
      <c r="D21" s="5"/>
      <c r="E21" s="5"/>
    </row>
    <row r="22" customFormat="false" ht="15" hidden="false" customHeight="false" outlineLevel="0" collapsed="false">
      <c r="A22" s="5" t="s">
        <v>568</v>
      </c>
      <c r="B22" s="32" t="n">
        <f aca="false">$B$16/$B$17</f>
        <v>250000</v>
      </c>
      <c r="C22" s="5" t="s">
        <v>453</v>
      </c>
      <c r="D22" s="5"/>
      <c r="E22" s="5"/>
    </row>
    <row r="23" customFormat="false" ht="15" hidden="false" customHeight="false" outlineLevel="0" collapsed="false">
      <c r="A23" s="9" t="s">
        <v>569</v>
      </c>
      <c r="B23" s="33" t="n">
        <f aca="false">$B$21-$B$22</f>
        <v>5682468.36363636</v>
      </c>
      <c r="C23" s="5" t="s">
        <v>453</v>
      </c>
      <c r="D23" s="5"/>
      <c r="E23" s="5"/>
    </row>
    <row r="24" customFormat="false" ht="15" hidden="false" customHeight="false" outlineLevel="0" collapsed="false">
      <c r="A24" s="9" t="s">
        <v>570</v>
      </c>
      <c r="B24" s="54" t="n">
        <f aca="false">IF($B$9=0,0,$B$23/$B$9)</f>
        <v>98.2965227455716</v>
      </c>
      <c r="C24" s="5" t="s">
        <v>557</v>
      </c>
      <c r="D24" s="5"/>
      <c r="E24" s="5"/>
    </row>
    <row r="25" customFormat="false" ht="15" hidden="false" customHeight="false" outlineLevel="0" collapsed="false">
      <c r="A25" s="9" t="s">
        <v>571</v>
      </c>
      <c r="B25" s="33" t="n">
        <f aca="false">$B$23-$B$6*$B$7*1000*$B$18</f>
        <v>3370090.18181818</v>
      </c>
      <c r="C25" s="5" t="s">
        <v>453</v>
      </c>
      <c r="D25" s="5"/>
      <c r="E25" s="5" t="s">
        <v>572</v>
      </c>
    </row>
    <row r="26" customFormat="false" ht="15" hidden="false" customHeight="false" outlineLevel="0" collapsed="false">
      <c r="A26" s="5" t="s">
        <v>573</v>
      </c>
      <c r="B26" s="15" t="n">
        <f aca="false">IF($B$21&lt;=0,"n/a",$B$16/$B$21)</f>
        <v>0.421409748313871</v>
      </c>
      <c r="C26" s="5" t="s">
        <v>122</v>
      </c>
      <c r="D26" s="5"/>
      <c r="E26" s="5"/>
    </row>
    <row r="27" customFormat="false" ht="15" hidden="false" customHeight="false" outlineLevel="0" collapsed="false">
      <c r="A27" s="3" t="s">
        <v>574</v>
      </c>
      <c r="B27" s="4"/>
      <c r="C27" s="4"/>
      <c r="D27" s="4"/>
      <c r="E27" s="4"/>
    </row>
    <row r="28" customFormat="false" ht="15" hidden="false" customHeight="false" outlineLevel="0" collapsed="false">
      <c r="A28" s="5" t="s">
        <v>575</v>
      </c>
      <c r="B28" s="6" t="n">
        <f aca="false">'Volumes &amp; Seasonality'!$B$21</f>
        <v>7128</v>
      </c>
      <c r="C28" s="5" t="s">
        <v>327</v>
      </c>
      <c r="D28" s="5"/>
      <c r="E28" s="5" t="s">
        <v>543</v>
      </c>
    </row>
    <row r="29" customFormat="false" ht="15" hidden="false" customHeight="false" outlineLevel="0" collapsed="false">
      <c r="A29" s="5" t="s">
        <v>576</v>
      </c>
      <c r="B29" s="23" t="n">
        <v>0.3</v>
      </c>
      <c r="C29" s="5" t="s">
        <v>137</v>
      </c>
      <c r="D29" s="5" t="s">
        <v>74</v>
      </c>
      <c r="E29" s="5" t="s">
        <v>577</v>
      </c>
    </row>
    <row r="30" customFormat="false" ht="15" hidden="false" customHeight="false" outlineLevel="0" collapsed="false">
      <c r="A30" s="5" t="s">
        <v>578</v>
      </c>
      <c r="B30" s="23" t="n">
        <v>0.01</v>
      </c>
      <c r="C30" s="5" t="s">
        <v>137</v>
      </c>
      <c r="D30" s="5" t="s">
        <v>70</v>
      </c>
      <c r="E30" s="5" t="s">
        <v>579</v>
      </c>
    </row>
    <row r="31" customFormat="false" ht="15" hidden="false" customHeight="false" outlineLevel="0" collapsed="false">
      <c r="A31" s="5" t="s">
        <v>580</v>
      </c>
      <c r="B31" s="37" t="n">
        <f aca="false">$B$28*$B$29*$B$30*1000</f>
        <v>21384</v>
      </c>
      <c r="C31" s="5" t="s">
        <v>550</v>
      </c>
      <c r="D31" s="5"/>
      <c r="E31" s="5"/>
    </row>
    <row r="32" customFormat="false" ht="15" hidden="false" customHeight="false" outlineLevel="0" collapsed="false">
      <c r="A32" s="5" t="s">
        <v>581</v>
      </c>
      <c r="B32" s="18" t="n">
        <v>150</v>
      </c>
      <c r="C32" s="5" t="s">
        <v>222</v>
      </c>
      <c r="D32" s="5" t="s">
        <v>70</v>
      </c>
      <c r="E32" s="5" t="s">
        <v>582</v>
      </c>
    </row>
    <row r="33" customFormat="false" ht="15" hidden="false" customHeight="false" outlineLevel="0" collapsed="false">
      <c r="A33" s="5" t="s">
        <v>583</v>
      </c>
      <c r="B33" s="19" t="n">
        <v>25</v>
      </c>
      <c r="C33" s="5" t="s">
        <v>584</v>
      </c>
      <c r="D33" s="5" t="s">
        <v>70</v>
      </c>
      <c r="E33" s="5" t="s">
        <v>585</v>
      </c>
    </row>
    <row r="34" customFormat="false" ht="15" hidden="false" customHeight="false" outlineLevel="0" collapsed="false">
      <c r="A34" s="5" t="s">
        <v>586</v>
      </c>
      <c r="B34" s="19" t="n">
        <v>250</v>
      </c>
      <c r="C34" s="5" t="s">
        <v>587</v>
      </c>
      <c r="D34" s="5" t="s">
        <v>74</v>
      </c>
      <c r="E34" s="5"/>
    </row>
    <row r="35" customFormat="false" ht="15" hidden="false" customHeight="false" outlineLevel="0" collapsed="false">
      <c r="A35" s="5" t="s">
        <v>588</v>
      </c>
      <c r="B35" s="37" t="n">
        <f aca="false">ROUNDUP($B$31/($B$33*$B$34),0)</f>
        <v>4</v>
      </c>
      <c r="C35" s="5" t="s">
        <v>589</v>
      </c>
      <c r="D35" s="5"/>
      <c r="E35" s="5"/>
    </row>
    <row r="36" customFormat="false" ht="15" hidden="false" customHeight="false" outlineLevel="0" collapsed="false">
      <c r="A36" s="5" t="s">
        <v>590</v>
      </c>
      <c r="B36" s="18" t="n">
        <v>500000</v>
      </c>
      <c r="C36" s="5" t="s">
        <v>591</v>
      </c>
      <c r="D36" s="5" t="s">
        <v>70</v>
      </c>
      <c r="E36" s="5" t="s">
        <v>592</v>
      </c>
    </row>
    <row r="37" customFormat="false" ht="15" hidden="false" customHeight="false" outlineLevel="0" collapsed="false">
      <c r="A37" s="5" t="s">
        <v>593</v>
      </c>
      <c r="B37" s="19" t="n">
        <v>3</v>
      </c>
      <c r="C37" s="5" t="s">
        <v>153</v>
      </c>
      <c r="D37" s="5" t="s">
        <v>74</v>
      </c>
      <c r="E37" s="5" t="s">
        <v>594</v>
      </c>
    </row>
    <row r="38" customFormat="false" ht="15" hidden="false" customHeight="false" outlineLevel="0" collapsed="false">
      <c r="A38" s="5" t="s">
        <v>595</v>
      </c>
      <c r="B38" s="19" t="n">
        <v>40</v>
      </c>
      <c r="C38" s="5" t="s">
        <v>596</v>
      </c>
      <c r="D38" s="5" t="s">
        <v>74</v>
      </c>
      <c r="E38" s="5" t="s">
        <v>597</v>
      </c>
    </row>
    <row r="39" customFormat="false" ht="15" hidden="false" customHeight="false" outlineLevel="0" collapsed="false">
      <c r="A39" s="5" t="s">
        <v>598</v>
      </c>
      <c r="B39" s="18" t="n">
        <v>300</v>
      </c>
      <c r="C39" s="5" t="s">
        <v>599</v>
      </c>
      <c r="D39" s="5" t="s">
        <v>74</v>
      </c>
      <c r="E39" s="5"/>
    </row>
    <row r="40" customFormat="false" ht="15" hidden="false" customHeight="false" outlineLevel="0" collapsed="false">
      <c r="A40" s="5" t="s">
        <v>600</v>
      </c>
      <c r="B40" s="18" t="n">
        <v>5</v>
      </c>
      <c r="C40" s="5" t="s">
        <v>601</v>
      </c>
      <c r="D40" s="5" t="s">
        <v>74</v>
      </c>
      <c r="E40" s="5"/>
    </row>
    <row r="41" customFormat="false" ht="15" hidden="false" customHeight="false" outlineLevel="0" collapsed="false">
      <c r="A41" s="9" t="s">
        <v>485</v>
      </c>
      <c r="B41" s="33" t="n">
        <f aca="false">$B$31*$B$32</f>
        <v>3207600</v>
      </c>
      <c r="C41" s="5" t="s">
        <v>453</v>
      </c>
      <c r="D41" s="5"/>
      <c r="E41" s="5"/>
    </row>
    <row r="42" customFormat="false" ht="15" hidden="false" customHeight="false" outlineLevel="0" collapsed="false">
      <c r="A42" s="5" t="s">
        <v>602</v>
      </c>
      <c r="B42" s="14" t="n">
        <f aca="false">$B$35*$B$34*($B$37*Inputs!$B$19+$B$38*Inputs!$B$45)+$B$28*$B$29*$B$39+$B$31*$B$40</f>
        <v>2588440</v>
      </c>
      <c r="C42" s="5" t="s">
        <v>453</v>
      </c>
      <c r="D42" s="5"/>
      <c r="E42" s="5" t="s">
        <v>603</v>
      </c>
    </row>
    <row r="43" customFormat="false" ht="15" hidden="false" customHeight="false" outlineLevel="0" collapsed="false">
      <c r="A43" s="9" t="s">
        <v>33</v>
      </c>
      <c r="B43" s="30" t="n">
        <f aca="false">$B$41-$B$42</f>
        <v>619160</v>
      </c>
      <c r="C43" s="5" t="s">
        <v>453</v>
      </c>
      <c r="D43" s="5"/>
      <c r="E43" s="5"/>
    </row>
    <row r="44" customFormat="false" ht="15" hidden="false" customHeight="false" outlineLevel="0" collapsed="false">
      <c r="A44" s="5" t="s">
        <v>604</v>
      </c>
      <c r="B44" s="32" t="n">
        <f aca="false">$B$35*($B$36+200000)/5</f>
        <v>560000</v>
      </c>
      <c r="C44" s="5" t="s">
        <v>453</v>
      </c>
      <c r="D44" s="5" t="s">
        <v>74</v>
      </c>
      <c r="E44" s="5"/>
    </row>
    <row r="45" customFormat="false" ht="15" hidden="false" customHeight="false" outlineLevel="0" collapsed="false">
      <c r="A45" s="9" t="s">
        <v>569</v>
      </c>
      <c r="B45" s="33" t="n">
        <f aca="false">$B$43-$B$44</f>
        <v>59159.9999999995</v>
      </c>
      <c r="C45" s="5" t="s">
        <v>453</v>
      </c>
      <c r="D45" s="5"/>
      <c r="E45" s="5"/>
    </row>
    <row r="46" customFormat="false" ht="15" hidden="false" customHeight="false" outlineLevel="0" collapsed="false">
      <c r="A46" s="9" t="s">
        <v>605</v>
      </c>
      <c r="B46" s="54" t="n">
        <f aca="false">IF($B$31=0,0,$B$45/$B$31)</f>
        <v>2.76655443322108</v>
      </c>
      <c r="C46" s="5" t="s">
        <v>601</v>
      </c>
      <c r="D46" s="5"/>
      <c r="E46" s="5"/>
    </row>
    <row r="47" customFormat="false" ht="15" hidden="false" customHeight="false" outlineLevel="0" collapsed="false">
      <c r="A47" s="5" t="s">
        <v>606</v>
      </c>
      <c r="B47" s="32" t="n">
        <f aca="false">$B$35*($B$36+200000)</f>
        <v>2800000</v>
      </c>
      <c r="C47" s="5" t="s">
        <v>248</v>
      </c>
      <c r="D47" s="5"/>
      <c r="E47" s="5"/>
    </row>
    <row r="48" customFormat="false" ht="15" hidden="false" customHeight="false" outlineLevel="0" collapsed="false">
      <c r="A48" s="3" t="s">
        <v>607</v>
      </c>
      <c r="B48" s="4"/>
      <c r="C48" s="4"/>
      <c r="D48" s="4"/>
      <c r="E48" s="4"/>
    </row>
    <row r="49" customFormat="false" ht="15" hidden="false" customHeight="false" outlineLevel="0" collapsed="false">
      <c r="A49" s="5" t="s">
        <v>608</v>
      </c>
      <c r="B49" s="55"/>
      <c r="C49" s="5" t="s">
        <v>609</v>
      </c>
      <c r="D49" s="5" t="s">
        <v>218</v>
      </c>
      <c r="E49" s="5" t="s">
        <v>610</v>
      </c>
    </row>
    <row r="50" customFormat="false" ht="23.85" hidden="false" customHeight="false" outlineLevel="0" collapsed="false">
      <c r="A50" s="5" t="s">
        <v>611</v>
      </c>
      <c r="B50" s="55"/>
      <c r="C50" s="5" t="s">
        <v>612</v>
      </c>
      <c r="D50" s="5" t="s">
        <v>218</v>
      </c>
      <c r="E50" s="5" t="s">
        <v>613</v>
      </c>
    </row>
    <row r="51" customFormat="false" ht="15" hidden="false" customHeight="false" outlineLevel="0" collapsed="false">
      <c r="A51" s="5" t="s">
        <v>614</v>
      </c>
      <c r="B51" s="55"/>
      <c r="C51" s="5" t="s">
        <v>612</v>
      </c>
      <c r="D51" s="5" t="s">
        <v>218</v>
      </c>
      <c r="E51" s="5" t="s">
        <v>615</v>
      </c>
    </row>
    <row r="52" customFormat="false" ht="15" hidden="false" customHeight="false" outlineLevel="0" collapsed="false">
      <c r="A52" s="9" t="s">
        <v>616</v>
      </c>
      <c r="B52" s="33" t="n">
        <f aca="false">IF(COUNT($B$49,$B$50,$B$51)&lt;3,0,$B$28*$B$29*$B$49*($B$50-$B$51))</f>
        <v>0</v>
      </c>
      <c r="C52" s="5" t="s">
        <v>453</v>
      </c>
      <c r="D52" s="5"/>
      <c r="E52" s="5" t="s">
        <v>617</v>
      </c>
    </row>
    <row r="53" customFormat="false" ht="15" hidden="false" customHeight="false" outlineLevel="0" collapsed="false">
      <c r="A53" s="3" t="s">
        <v>618</v>
      </c>
      <c r="B53" s="4"/>
      <c r="C53" s="4"/>
      <c r="D53" s="4"/>
      <c r="E53" s="4"/>
    </row>
    <row r="54" customFormat="false" ht="15" hidden="false" customHeight="false" outlineLevel="0" collapsed="false">
      <c r="A54" s="5" t="s">
        <v>619</v>
      </c>
      <c r="B54" s="6" t="n">
        <f aca="false">'Volumes &amp; Seasonality'!$B$8+$B$6*(1-$B$7)+$B$28*0.1</f>
        <v>1099.24363636364</v>
      </c>
      <c r="C54" s="5" t="s">
        <v>327</v>
      </c>
      <c r="D54" s="5" t="s">
        <v>74</v>
      </c>
      <c r="E54" s="5" t="s">
        <v>620</v>
      </c>
    </row>
    <row r="55" customFormat="false" ht="15" hidden="false" customHeight="false" outlineLevel="0" collapsed="false">
      <c r="A55" s="5" t="s">
        <v>621</v>
      </c>
      <c r="B55" s="23" t="n">
        <v>0.25</v>
      </c>
      <c r="C55" s="5" t="s">
        <v>622</v>
      </c>
      <c r="D55" s="5" t="s">
        <v>74</v>
      </c>
      <c r="E55" s="5" t="s">
        <v>623</v>
      </c>
    </row>
    <row r="56" customFormat="false" ht="15" hidden="false" customHeight="false" outlineLevel="0" collapsed="false">
      <c r="A56" s="5" t="s">
        <v>624</v>
      </c>
      <c r="B56" s="37" t="n">
        <f aca="false">$B$54*$B$55*1000</f>
        <v>274810.909090909</v>
      </c>
      <c r="C56" s="5" t="s">
        <v>550</v>
      </c>
      <c r="D56" s="5"/>
      <c r="E56" s="5"/>
    </row>
    <row r="57" customFormat="false" ht="15" hidden="false" customHeight="false" outlineLevel="0" collapsed="false">
      <c r="A57" s="5" t="s">
        <v>625</v>
      </c>
      <c r="B57" s="23" t="n">
        <v>0.5</v>
      </c>
      <c r="C57" s="5" t="s">
        <v>137</v>
      </c>
      <c r="D57" s="5" t="s">
        <v>74</v>
      </c>
      <c r="E57" s="5" t="s">
        <v>626</v>
      </c>
    </row>
    <row r="58" customFormat="false" ht="15" hidden="false" customHeight="false" outlineLevel="0" collapsed="false">
      <c r="A58" s="5" t="s">
        <v>627</v>
      </c>
      <c r="B58" s="18" t="n">
        <v>6</v>
      </c>
      <c r="C58" s="5" t="s">
        <v>222</v>
      </c>
      <c r="D58" s="5" t="s">
        <v>70</v>
      </c>
      <c r="E58" s="5" t="s">
        <v>628</v>
      </c>
    </row>
    <row r="59" customFormat="false" ht="15" hidden="false" customHeight="false" outlineLevel="0" collapsed="false">
      <c r="A59" s="5" t="s">
        <v>629</v>
      </c>
      <c r="B59" s="22" t="n">
        <v>2</v>
      </c>
      <c r="C59" s="5" t="s">
        <v>630</v>
      </c>
      <c r="D59" s="5" t="s">
        <v>74</v>
      </c>
      <c r="E59" s="5"/>
    </row>
    <row r="60" customFormat="false" ht="15" hidden="false" customHeight="false" outlineLevel="0" collapsed="false">
      <c r="A60" s="5" t="s">
        <v>631</v>
      </c>
      <c r="B60" s="18" t="n">
        <v>1000000</v>
      </c>
      <c r="C60" s="5" t="s">
        <v>248</v>
      </c>
      <c r="D60" s="5" t="s">
        <v>74</v>
      </c>
      <c r="E60" s="5"/>
    </row>
    <row r="61" customFormat="false" ht="15" hidden="false" customHeight="false" outlineLevel="0" collapsed="false">
      <c r="A61" s="9" t="s">
        <v>632</v>
      </c>
      <c r="B61" s="33" t="n">
        <f aca="false">$B$56*$B$58</f>
        <v>1648865.45454545</v>
      </c>
      <c r="C61" s="5" t="s">
        <v>453</v>
      </c>
      <c r="D61" s="5"/>
      <c r="E61" s="5"/>
    </row>
    <row r="62" customFormat="false" ht="15" hidden="false" customHeight="false" outlineLevel="0" collapsed="false">
      <c r="A62" s="5" t="s">
        <v>602</v>
      </c>
      <c r="B62" s="32" t="n">
        <f aca="false">$B$56*$B$59</f>
        <v>549621.818181818</v>
      </c>
      <c r="C62" s="5" t="s">
        <v>453</v>
      </c>
      <c r="D62" s="5"/>
      <c r="E62" s="5"/>
    </row>
    <row r="63" customFormat="false" ht="15" hidden="false" customHeight="false" outlineLevel="0" collapsed="false">
      <c r="A63" s="9" t="s">
        <v>33</v>
      </c>
      <c r="B63" s="30" t="n">
        <f aca="false">$B$61-$B$62</f>
        <v>1099243.63636364</v>
      </c>
      <c r="C63" s="5" t="s">
        <v>453</v>
      </c>
      <c r="D63" s="5"/>
      <c r="E63" s="5"/>
    </row>
    <row r="64" customFormat="false" ht="15" hidden="false" customHeight="false" outlineLevel="0" collapsed="false">
      <c r="A64" s="5" t="s">
        <v>633</v>
      </c>
      <c r="B64" s="32" t="n">
        <f aca="false">$B$60/5</f>
        <v>200000</v>
      </c>
      <c r="C64" s="5" t="s">
        <v>453</v>
      </c>
      <c r="D64" s="5"/>
      <c r="E64" s="5"/>
    </row>
    <row r="65" customFormat="false" ht="15" hidden="false" customHeight="false" outlineLevel="0" collapsed="false">
      <c r="A65" s="9" t="s">
        <v>634</v>
      </c>
      <c r="B65" s="33" t="n">
        <f aca="false">$B$63-$B$64</f>
        <v>899243.636363636</v>
      </c>
      <c r="C65" s="5" t="s">
        <v>453</v>
      </c>
      <c r="D65" s="5"/>
      <c r="E65" s="5"/>
    </row>
    <row r="66" customFormat="false" ht="15" hidden="false" customHeight="false" outlineLevel="0" collapsed="false">
      <c r="A66" s="9" t="s">
        <v>635</v>
      </c>
      <c r="B66" s="54" t="n">
        <f aca="false">IF($B$56=0,0,$B$65/$B$56)</f>
        <v>3.27222685350588</v>
      </c>
      <c r="C66" s="5" t="s">
        <v>222</v>
      </c>
      <c r="D66" s="5"/>
      <c r="E66" s="5"/>
    </row>
    <row r="67" customFormat="false" ht="15" hidden="false" customHeight="false" outlineLevel="0" collapsed="false">
      <c r="A67" s="3" t="s">
        <v>636</v>
      </c>
      <c r="B67" s="4"/>
      <c r="C67" s="4"/>
      <c r="D67" s="4"/>
      <c r="E67" s="4"/>
    </row>
    <row r="68" customFormat="false" ht="15" hidden="false" customHeight="false" outlineLevel="0" collapsed="false">
      <c r="A68" s="5" t="s">
        <v>637</v>
      </c>
      <c r="E68" s="5" t="s">
        <v>638</v>
      </c>
    </row>
    <row r="69" customFormat="false" ht="15" hidden="false" customHeight="false" outlineLevel="0" collapsed="false">
      <c r="A69" s="5" t="s">
        <v>639</v>
      </c>
      <c r="E69" s="5" t="s">
        <v>640</v>
      </c>
    </row>
    <row r="70" customFormat="false" ht="15" hidden="false" customHeight="false" outlineLevel="0" collapsed="false">
      <c r="A70" s="5" t="s">
        <v>641</v>
      </c>
      <c r="E70" s="5" t="s">
        <v>642</v>
      </c>
    </row>
    <row r="71" customFormat="false" ht="15" hidden="false" customHeight="false" outlineLevel="0" collapsed="false">
      <c r="A71" s="5" t="s">
        <v>643</v>
      </c>
      <c r="E71" s="5" t="s">
        <v>644</v>
      </c>
    </row>
    <row r="73" customFormat="false" ht="15" hidden="false" customHeight="false" outlineLevel="0" collapsed="false">
      <c r="A73" s="3" t="s">
        <v>645</v>
      </c>
      <c r="B73" s="4"/>
      <c r="C73" s="4"/>
      <c r="D73" s="4"/>
      <c r="E73" s="4"/>
    </row>
    <row r="74" customFormat="false" ht="15" hidden="false" customHeight="false" outlineLevel="0" collapsed="false">
      <c r="A74" s="9" t="s">
        <v>646</v>
      </c>
      <c r="B74" s="33" t="n">
        <f aca="false">$B$19+$B$41+$B$61+IF(COUNT($B$49,$B$50,$B$51)&lt;3,0,$B$28*$B$29*$B$49*$B$50)</f>
        <v>15262167.2727273</v>
      </c>
      <c r="C74" s="5" t="s">
        <v>453</v>
      </c>
      <c r="D74" s="5"/>
      <c r="E74" s="5"/>
    </row>
    <row r="75" customFormat="false" ht="15" hidden="false" customHeight="false" outlineLevel="0" collapsed="false">
      <c r="A75" s="5" t="s">
        <v>647</v>
      </c>
      <c r="B75" s="32" t="n">
        <f aca="false">$B$20+$B$15+$B$42+$B$62+IF(COUNT($B$49,$B$50,$B$51)&lt;3,0,$B$28*$B$29*$B$49*$B$51)</f>
        <v>7611295.27272727</v>
      </c>
      <c r="C75" s="5" t="s">
        <v>453</v>
      </c>
      <c r="D75" s="5"/>
      <c r="E75" s="5"/>
    </row>
    <row r="76" customFormat="false" ht="15" hidden="false" customHeight="false" outlineLevel="0" collapsed="false">
      <c r="A76" s="9" t="s">
        <v>648</v>
      </c>
      <c r="B76" s="30" t="n">
        <f aca="false">$B$74-$B$75</f>
        <v>7650872</v>
      </c>
      <c r="C76" s="5" t="s">
        <v>453</v>
      </c>
      <c r="D76" s="5"/>
      <c r="E76" s="5"/>
    </row>
    <row r="77" customFormat="false" ht="15" hidden="false" customHeight="false" outlineLevel="0" collapsed="false">
      <c r="A77" s="5" t="s">
        <v>649</v>
      </c>
      <c r="B77" s="32" t="n">
        <f aca="false">$B$22+$B$44+$B$64</f>
        <v>1010000</v>
      </c>
      <c r="C77" s="5" t="s">
        <v>453</v>
      </c>
      <c r="D77" s="5"/>
      <c r="E77" s="5"/>
    </row>
    <row r="78" customFormat="false" ht="15" hidden="false" customHeight="false" outlineLevel="0" collapsed="false">
      <c r="A78" s="5" t="s">
        <v>650</v>
      </c>
      <c r="B78" s="32" t="n">
        <f aca="false">$B$16+$B$47+$B$60</f>
        <v>6300000</v>
      </c>
      <c r="C78" s="5" t="s">
        <v>248</v>
      </c>
      <c r="D78" s="5"/>
      <c r="E78" s="5"/>
    </row>
    <row r="79" customFormat="false" ht="15" hidden="false" customHeight="false" outlineLevel="0" collapsed="false">
      <c r="A79" s="9" t="s">
        <v>651</v>
      </c>
      <c r="B79" s="10" t="n">
        <f aca="false">$B$76/('Volumes &amp; Seasonality'!$B$13*1000)</f>
        <v>2.3886543364277</v>
      </c>
      <c r="C79" s="5" t="s">
        <v>222</v>
      </c>
      <c r="D79" s="5"/>
      <c r="E79" s="5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653</v>
      </c>
    </row>
    <row r="2" customFormat="false" ht="15" hidden="false" customHeight="false" outlineLevel="0" collapsed="false">
      <c r="A2" s="2" t="s">
        <v>654</v>
      </c>
    </row>
    <row r="4" customFormat="false" ht="15" hidden="false" customHeight="false" outlineLevel="0" collapsed="false">
      <c r="A4" s="17" t="s">
        <v>655</v>
      </c>
      <c r="B4" s="17" t="s">
        <v>656</v>
      </c>
      <c r="C4" s="17" t="s">
        <v>430</v>
      </c>
      <c r="D4" s="17" t="s">
        <v>29</v>
      </c>
      <c r="E4" s="17" t="s">
        <v>304</v>
      </c>
    </row>
    <row r="5" customFormat="false" ht="15" hidden="false" customHeight="false" outlineLevel="0" collapsed="false">
      <c r="A5" s="3" t="s">
        <v>485</v>
      </c>
      <c r="B5" s="4"/>
      <c r="C5" s="4"/>
      <c r="D5" s="4"/>
      <c r="E5" s="4"/>
    </row>
    <row r="6" customFormat="false" ht="15" hidden="false" customHeight="false" outlineLevel="0" collapsed="false">
      <c r="A6" s="5" t="s">
        <v>657</v>
      </c>
      <c r="B6" s="14" t="n">
        <f aca="false">'Unit Economics'!$B$6*('Volumes &amp; Seasonality'!$B$14*1000)</f>
        <v>41392681.1748252</v>
      </c>
      <c r="C6" s="11" t="n">
        <f aca="false">B6/('Volumes &amp; Seasonality'!$B$13*1000)</f>
        <v>12.9230769230769</v>
      </c>
      <c r="D6" s="32" t="n">
        <f aca="false">B6</f>
        <v>41392681.1748252</v>
      </c>
      <c r="E6" s="5"/>
    </row>
    <row r="7" customFormat="false" ht="15" hidden="false" customHeight="false" outlineLevel="0" collapsed="false">
      <c r="A7" s="5" t="s">
        <v>658</v>
      </c>
      <c r="B7" s="14" t="n">
        <f aca="false">'Unit Economics'!$C$6*('Volumes &amp; Seasonality'!$B$15*1000)</f>
        <v>67263106.9090909</v>
      </c>
      <c r="C7" s="11" t="n">
        <f aca="false">B7/('Volumes &amp; Seasonality'!$B$13*1000)</f>
        <v>21</v>
      </c>
      <c r="D7" s="32" t="n">
        <f aca="false">B7</f>
        <v>67263106.9090909</v>
      </c>
      <c r="E7" s="5"/>
    </row>
    <row r="8" customFormat="false" ht="15" hidden="false" customHeight="false" outlineLevel="0" collapsed="false">
      <c r="A8" s="5" t="s">
        <v>659</v>
      </c>
      <c r="B8" s="14" t="n">
        <f aca="false">'Waste Valorisation'!$B$74</f>
        <v>15262167.2727273</v>
      </c>
      <c r="C8" s="11" t="n">
        <f aca="false">B8/('Volumes &amp; Seasonality'!$B$13*1000)</f>
        <v>4.76495254910616</v>
      </c>
      <c r="D8" s="32" t="n">
        <f aca="false">B8</f>
        <v>15262167.2727273</v>
      </c>
      <c r="E8" s="5"/>
    </row>
    <row r="9" customFormat="false" ht="15" hidden="false" customHeight="false" outlineLevel="0" collapsed="false">
      <c r="A9" s="9" t="s">
        <v>660</v>
      </c>
      <c r="B9" s="30" t="n">
        <f aca="false">SUM(B6:B8)</f>
        <v>123917955.356643</v>
      </c>
      <c r="C9" s="12" t="n">
        <f aca="false">B9/('Volumes &amp; Seasonality'!$B$13*1000)</f>
        <v>38.6880294721831</v>
      </c>
      <c r="D9" s="30" t="n">
        <f aca="false">SUM(D6:D8)</f>
        <v>123917955.356643</v>
      </c>
      <c r="E9" s="5"/>
    </row>
    <row r="10" customFormat="false" ht="15" hidden="false" customHeight="false" outlineLevel="0" collapsed="false">
      <c r="A10" s="3" t="s">
        <v>661</v>
      </c>
      <c r="B10" s="4"/>
      <c r="C10" s="4"/>
      <c r="D10" s="4"/>
      <c r="E10" s="4"/>
    </row>
    <row r="11" customFormat="false" ht="15" hidden="false" customHeight="false" outlineLevel="0" collapsed="false">
      <c r="A11" s="5" t="s">
        <v>662</v>
      </c>
      <c r="B11" s="14" t="n">
        <f aca="false">'Farm Economics'!$B$36</f>
        <v>30184195.8872727</v>
      </c>
      <c r="C11" s="11" t="n">
        <f aca="false">B11/('Volumes &amp; Seasonality'!$B$13*1000)</f>
        <v>9.42371149297978</v>
      </c>
      <c r="D11" s="32" t="n">
        <f aca="false">B11</f>
        <v>30184195.8872727</v>
      </c>
      <c r="E11" s="5"/>
    </row>
    <row r="12" customFormat="false" ht="15" hidden="false" customHeight="false" outlineLevel="0" collapsed="false">
      <c r="A12" s="5" t="s">
        <v>663</v>
      </c>
      <c r="B12" s="14" t="n">
        <f aca="false">'Packhouse Opex'!$F$29</f>
        <v>13354449.4472727</v>
      </c>
      <c r="C12" s="11" t="n">
        <f aca="false">B12/('Volumes &amp; Seasonality'!$B$13*1000)</f>
        <v>4.16935005354063</v>
      </c>
      <c r="D12" s="32" t="n">
        <f aca="false">B12</f>
        <v>13354449.4472727</v>
      </c>
      <c r="E12" s="5"/>
    </row>
    <row r="13" customFormat="false" ht="15" hidden="false" customHeight="false" outlineLevel="0" collapsed="false">
      <c r="A13" s="5" t="s">
        <v>664</v>
      </c>
      <c r="B13" s="14" t="n">
        <f aca="false">'Unit Economics'!$B$13*('Volumes &amp; Seasonality'!$B$14*1000)+'Unit Economics'!$C$13*('Volumes &amp; Seasonality'!$B$15*1000)</f>
        <v>18417279.2727273</v>
      </c>
      <c r="C13" s="11" t="n">
        <f aca="false">B13/('Volumes &amp; Seasonality'!$B$13*1000)</f>
        <v>5.75</v>
      </c>
      <c r="D13" s="32" t="n">
        <f aca="false">B13</f>
        <v>18417279.2727273</v>
      </c>
      <c r="E13" s="5"/>
    </row>
    <row r="14" customFormat="false" ht="15" hidden="false" customHeight="false" outlineLevel="0" collapsed="false">
      <c r="A14" s="5" t="s">
        <v>665</v>
      </c>
      <c r="B14" s="14" t="n">
        <f aca="false">('Unit Economics'!$B$14+'Unit Economics'!$B$15+'Unit Economics'!$B$16+'Unit Economics'!$B$17)*('Volumes &amp; Seasonality'!$B$14*1000)</f>
        <v>12319250.3496503</v>
      </c>
      <c r="C14" s="11" t="n">
        <f aca="false">B14/('Volumes &amp; Seasonality'!$B$13*1000)</f>
        <v>3.84615384615385</v>
      </c>
      <c r="D14" s="32" t="n">
        <f aca="false">B14</f>
        <v>12319250.3496503</v>
      </c>
      <c r="E14" s="5"/>
    </row>
    <row r="15" customFormat="false" ht="15" hidden="false" customHeight="false" outlineLevel="0" collapsed="false">
      <c r="A15" s="5" t="s">
        <v>19</v>
      </c>
      <c r="B15" s="14" t="n">
        <f aca="false">'Unit Economics'!$B$18*('Volumes &amp; Seasonality'!$B$14*1000)</f>
        <v>15359065.3709926</v>
      </c>
      <c r="C15" s="11" t="n">
        <f aca="false">B15/('Volumes &amp; Seasonality'!$B$13*1000)</f>
        <v>4.7952047952048</v>
      </c>
      <c r="D15" s="32" t="n">
        <f aca="false">0</f>
        <v>0</v>
      </c>
      <c r="E15" s="5" t="s">
        <v>666</v>
      </c>
    </row>
    <row r="16" customFormat="false" ht="15" hidden="false" customHeight="false" outlineLevel="0" collapsed="false">
      <c r="A16" s="5" t="s">
        <v>667</v>
      </c>
      <c r="B16" s="14" t="n">
        <f aca="false">'Unit Economics'!$C$15*('Volumes &amp; Seasonality'!$B$15*1000)</f>
        <v>11343976.3636364</v>
      </c>
      <c r="C16" s="11" t="n">
        <f aca="false">B16/('Volumes &amp; Seasonality'!$B$13*1000)</f>
        <v>3.54166666666667</v>
      </c>
      <c r="D16" s="32" t="n">
        <f aca="false">B16</f>
        <v>11343976.3636364</v>
      </c>
      <c r="E16" s="5"/>
    </row>
    <row r="17" customFormat="false" ht="15" hidden="false" customHeight="false" outlineLevel="0" collapsed="false">
      <c r="A17" s="5" t="s">
        <v>668</v>
      </c>
      <c r="B17" s="14" t="n">
        <f aca="false">('Unit Economics'!$B$19+'Unit Economics'!$B$20+'Unit Economics'!$B$21+'Unit Economics'!$B$22)*('Volumes &amp; Seasonality'!$B$14*1000)+('Unit Economics'!$C$20+'Unit Economics'!$C$21)*('Volumes &amp; Seasonality'!$B$15*1000)</f>
        <v>4565031.53497768</v>
      </c>
      <c r="C17" s="11" t="n">
        <f aca="false">B17/('Volumes &amp; Seasonality'!$B$13*1000)</f>
        <v>1.42523393045311</v>
      </c>
      <c r="D17" s="32" t="n">
        <f aca="false">B17</f>
        <v>4565031.53497768</v>
      </c>
      <c r="E17" s="5"/>
    </row>
    <row r="18" customFormat="false" ht="15" hidden="false" customHeight="false" outlineLevel="0" collapsed="false">
      <c r="A18" s="5" t="s">
        <v>512</v>
      </c>
      <c r="B18" s="14" t="n">
        <f aca="false">'Packhouse Opex'!$F$20</f>
        <v>6331265</v>
      </c>
      <c r="C18" s="11" t="n">
        <f aca="false">B18/('Volumes &amp; Seasonality'!$B$13*1000)</f>
        <v>1.97666404526477</v>
      </c>
      <c r="D18" s="32" t="n">
        <f aca="false">B18</f>
        <v>6331265</v>
      </c>
      <c r="E18" s="5"/>
    </row>
    <row r="19" customFormat="false" ht="15" hidden="false" customHeight="false" outlineLevel="0" collapsed="false">
      <c r="A19" s="5" t="s">
        <v>669</v>
      </c>
      <c r="B19" s="14" t="n">
        <f aca="false">'Waste Valorisation'!$B$75</f>
        <v>7611295.27272727</v>
      </c>
      <c r="C19" s="11" t="n">
        <f aca="false">B19/('Volumes &amp; Seasonality'!$B$13*1000)</f>
        <v>2.37629821267846</v>
      </c>
      <c r="D19" s="32" t="n">
        <f aca="false">B19</f>
        <v>7611295.27272727</v>
      </c>
      <c r="E19" s="5"/>
    </row>
    <row r="20" customFormat="false" ht="15" hidden="false" customHeight="false" outlineLevel="0" collapsed="false">
      <c r="A20" s="9" t="s">
        <v>670</v>
      </c>
      <c r="B20" s="56" t="n">
        <f aca="false">SUM(B11:B19)</f>
        <v>119485808.499257</v>
      </c>
      <c r="C20" s="49" t="n">
        <f aca="false">B20/('Volumes &amp; Seasonality'!$B$13*1000)</f>
        <v>37.304283042942</v>
      </c>
      <c r="D20" s="56" t="n">
        <f aca="false">SUM(D11:D19)</f>
        <v>104126743.128264</v>
      </c>
      <c r="E20" s="5"/>
    </row>
    <row r="21" customFormat="false" ht="15" hidden="false" customHeight="false" outlineLevel="0" collapsed="false">
      <c r="A21" s="9" t="s">
        <v>33</v>
      </c>
      <c r="B21" s="30" t="n">
        <f aca="false">B9-B20</f>
        <v>4432146.85738632</v>
      </c>
      <c r="C21" s="12" t="n">
        <f aca="false">B21/('Volumes &amp; Seasonality'!$B$13*1000)</f>
        <v>1.38374642924104</v>
      </c>
      <c r="D21" s="30" t="n">
        <f aca="false">D9-D20</f>
        <v>19791212.228379</v>
      </c>
      <c r="E21" s="5"/>
    </row>
    <row r="22" customFormat="false" ht="15" hidden="false" customHeight="false" outlineLevel="0" collapsed="false">
      <c r="A22" s="9" t="s">
        <v>671</v>
      </c>
      <c r="B22" s="51" t="n">
        <f aca="false">IF(B9=0,0,B21/B9)</f>
        <v>0.0357667849233821</v>
      </c>
      <c r="D22" s="51" t="n">
        <f aca="false">IF(D9=0,0,D21/D9)</f>
        <v>0.159712223877635</v>
      </c>
    </row>
    <row r="23" customFormat="false" ht="15" hidden="false" customHeight="false" outlineLevel="0" collapsed="false">
      <c r="A23" s="5" t="s">
        <v>672</v>
      </c>
      <c r="B23" s="14" t="n">
        <f aca="false">'Packhouse Capex'!$J$16+'Waste Valorisation'!$B$77</f>
        <v>3151809.52380952</v>
      </c>
      <c r="C23" s="11" t="n">
        <f aca="false">B23/('Volumes &amp; Seasonality'!$B$13*1000)</f>
        <v>0.984016395339217</v>
      </c>
      <c r="D23" s="32" t="n">
        <f aca="false">B23</f>
        <v>3151809.52380952</v>
      </c>
      <c r="E23" s="5"/>
    </row>
    <row r="24" customFormat="false" ht="15" hidden="false" customHeight="false" outlineLevel="0" collapsed="false">
      <c r="A24" s="5" t="s">
        <v>673</v>
      </c>
      <c r="B24" s="14" t="n">
        <f aca="false">'Packhouse Capex'!$B$26</f>
        <v>644008.421063608</v>
      </c>
      <c r="C24" s="11" t="n">
        <f aca="false">B24/('Volumes &amp; Seasonality'!$B$13*1000)</f>
        <v>0.201063814382144</v>
      </c>
      <c r="D24" s="32" t="n">
        <f aca="false">B24</f>
        <v>644008.421063608</v>
      </c>
      <c r="E24" s="5"/>
    </row>
    <row r="25" customFormat="false" ht="15" hidden="false" customHeight="false" outlineLevel="0" collapsed="false">
      <c r="A25" s="9" t="s">
        <v>674</v>
      </c>
      <c r="B25" s="30" t="n">
        <f aca="false">B21-B23-B24</f>
        <v>636328.912513189</v>
      </c>
      <c r="C25" s="12" t="n">
        <f aca="false">B25/('Volumes &amp; Seasonality'!$B$13*1000)</f>
        <v>0.198666219519677</v>
      </c>
      <c r="D25" s="30" t="n">
        <f aca="false">D21-D23-D24</f>
        <v>15995394.2835058</v>
      </c>
      <c r="E25" s="5"/>
    </row>
    <row r="26" customFormat="false" ht="30" hidden="false" customHeight="true" outlineLevel="0" collapsed="false">
      <c r="A26" s="45" t="s">
        <v>675</v>
      </c>
      <c r="B26" s="45"/>
      <c r="C26" s="45"/>
      <c r="D26" s="45"/>
      <c r="E26" s="45"/>
    </row>
    <row r="28" customFormat="false" ht="15" hidden="false" customHeight="false" outlineLevel="0" collapsed="false">
      <c r="A28" s="3" t="s">
        <v>676</v>
      </c>
      <c r="B28" s="4"/>
      <c r="C28" s="4"/>
      <c r="D28" s="4"/>
      <c r="E28" s="4"/>
    </row>
    <row r="29" customFormat="false" ht="15" hidden="false" customHeight="false" outlineLevel="0" collapsed="false">
      <c r="A29" s="5" t="s">
        <v>677</v>
      </c>
      <c r="B29" s="14" t="n">
        <f aca="false">'Packhouse Capex'!$E$16+'Waste Valorisation'!$B$78</f>
        <v>30030000</v>
      </c>
      <c r="C29" s="11" t="n">
        <f aca="false">B29/('Volumes &amp; Seasonality'!$B$13*1000)</f>
        <v>9.37557048698813</v>
      </c>
      <c r="D29" s="32" t="n">
        <f aca="false">B29</f>
        <v>30030000</v>
      </c>
      <c r="E29" s="5"/>
    </row>
    <row r="30" customFormat="false" ht="15" hidden="false" customHeight="false" outlineLevel="0" collapsed="false">
      <c r="A30" s="5" t="s">
        <v>678</v>
      </c>
      <c r="B30" s="14" t="n">
        <f aca="false">-'Packhouse Capex'!$H$16</f>
        <v>-3780000</v>
      </c>
      <c r="C30" s="11" t="n">
        <f aca="false">B30/('Volumes &amp; Seasonality'!$B$13*1000)</f>
        <v>-1.18014173962088</v>
      </c>
      <c r="D30" s="32" t="n">
        <f aca="false">B30</f>
        <v>-3780000</v>
      </c>
      <c r="E30" s="5"/>
    </row>
    <row r="31" customFormat="false" ht="15" hidden="false" customHeight="false" outlineLevel="0" collapsed="false">
      <c r="A31" s="9" t="s">
        <v>35</v>
      </c>
      <c r="B31" s="33" t="n">
        <f aca="false">B29+B30</f>
        <v>26250000</v>
      </c>
      <c r="C31" s="10" t="n">
        <f aca="false">B31/('Volumes &amp; Seasonality'!$B$13*1000)</f>
        <v>8.19542874736725</v>
      </c>
      <c r="D31" s="33" t="n">
        <f aca="false">D29+D30</f>
        <v>26250000</v>
      </c>
      <c r="E31" s="5"/>
    </row>
    <row r="32" customFormat="false" ht="15" hidden="false" customHeight="false" outlineLevel="0" collapsed="false">
      <c r="A32" s="5" t="s">
        <v>679</v>
      </c>
      <c r="B32" s="14" t="n">
        <f aca="false">'Packhouse Capex'!$B$25</f>
        <v>2646508.42106361</v>
      </c>
      <c r="C32" s="11" t="n">
        <f aca="false">B32/('Volumes &amp; Seasonality'!$B$13*1000)</f>
        <v>0.826257950252731</v>
      </c>
      <c r="D32" s="32" t="n">
        <f aca="false">B32</f>
        <v>2646508.42106361</v>
      </c>
      <c r="E32" s="5"/>
    </row>
    <row r="33" customFormat="false" ht="15" hidden="false" customHeight="false" outlineLevel="0" collapsed="false">
      <c r="A33" s="9" t="s">
        <v>680</v>
      </c>
      <c r="B33" s="30" t="n">
        <f aca="false">B21-B32</f>
        <v>1785638.43632271</v>
      </c>
      <c r="C33" s="12" t="n">
        <f aca="false">B33/('Volumes &amp; Seasonality'!$B$13*1000)</f>
        <v>0.557488478988307</v>
      </c>
      <c r="D33" s="30" t="n">
        <f aca="false">D21-D32</f>
        <v>17144703.8073153</v>
      </c>
      <c r="E33" s="5"/>
    </row>
    <row r="34" customFormat="false" ht="15" hidden="false" customHeight="false" outlineLevel="0" collapsed="false">
      <c r="A34" s="9" t="s">
        <v>37</v>
      </c>
      <c r="B34" s="57" t="n">
        <f aca="false">IF(B21&lt;=0,"n/a",B31/B21)</f>
        <v>5.92263768432075</v>
      </c>
      <c r="D34" s="57" t="n">
        <f aca="false">IF(D21&lt;=0,"n/a",D31/D21)</f>
        <v>1.32634624383239</v>
      </c>
    </row>
    <row r="35" customFormat="false" ht="15" hidden="false" customHeight="false" outlineLevel="0" collapsed="false">
      <c r="A35" s="9" t="s">
        <v>681</v>
      </c>
      <c r="B35" s="51" t="n">
        <f aca="false">(B25+B24)/B31</f>
        <v>0.0487747555648304</v>
      </c>
      <c r="D35" s="51" t="n">
        <f aca="false">(D25+D24)/D31</f>
        <v>0.633882007793121</v>
      </c>
    </row>
    <row r="36" customFormat="false" ht="30" hidden="false" customHeight="true" outlineLevel="0" collapsed="false">
      <c r="A36" s="45" t="s">
        <v>682</v>
      </c>
      <c r="B36" s="45"/>
      <c r="C36" s="45"/>
      <c r="D36" s="45"/>
      <c r="E36" s="45"/>
    </row>
  </sheetData>
  <mergeCells count="2">
    <mergeCell ref="A26:E26"/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60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683</v>
      </c>
    </row>
    <row r="2" customFormat="false" ht="15" hidden="false" customHeight="false" outlineLevel="0" collapsed="false">
      <c r="A2" s="2" t="s">
        <v>684</v>
      </c>
    </row>
    <row r="4" customFormat="false" ht="15" hidden="false" customHeight="false" outlineLevel="0" collapsed="false">
      <c r="A4" s="17" t="s">
        <v>685</v>
      </c>
      <c r="B4" s="17" t="s">
        <v>686</v>
      </c>
      <c r="C4" s="17" t="s">
        <v>687</v>
      </c>
      <c r="D4" s="17" t="s">
        <v>688</v>
      </c>
    </row>
    <row r="5" customFormat="false" ht="57.75" hidden="false" customHeight="true" outlineLevel="0" collapsed="false">
      <c r="A5" s="9" t="s">
        <v>689</v>
      </c>
      <c r="B5" s="5" t="s">
        <v>690</v>
      </c>
      <c r="C5" s="5" t="s">
        <v>691</v>
      </c>
      <c r="D5" s="5" t="s">
        <v>692</v>
      </c>
    </row>
    <row r="6" customFormat="false" ht="57.75" hidden="false" customHeight="true" outlineLevel="0" collapsed="false">
      <c r="A6" s="9" t="s">
        <v>693</v>
      </c>
      <c r="B6" s="5" t="s">
        <v>694</v>
      </c>
      <c r="C6" s="5" t="s">
        <v>695</v>
      </c>
      <c r="D6" s="5" t="s">
        <v>696</v>
      </c>
    </row>
    <row r="7" customFormat="false" ht="57.75" hidden="false" customHeight="true" outlineLevel="0" collapsed="false">
      <c r="A7" s="9" t="s">
        <v>697</v>
      </c>
      <c r="B7" s="5" t="s">
        <v>698</v>
      </c>
      <c r="C7" s="5" t="s">
        <v>699</v>
      </c>
      <c r="D7" s="5" t="s">
        <v>74</v>
      </c>
    </row>
    <row r="8" customFormat="false" ht="57.75" hidden="false" customHeight="true" outlineLevel="0" collapsed="false">
      <c r="A8" s="9" t="s">
        <v>700</v>
      </c>
      <c r="B8" s="5" t="s">
        <v>701</v>
      </c>
      <c r="C8" s="5" t="s">
        <v>702</v>
      </c>
      <c r="D8" s="5" t="s">
        <v>703</v>
      </c>
    </row>
    <row r="9" customFormat="false" ht="57.75" hidden="false" customHeight="true" outlineLevel="0" collapsed="false">
      <c r="A9" s="9" t="s">
        <v>704</v>
      </c>
      <c r="B9" s="5" t="s">
        <v>705</v>
      </c>
      <c r="C9" s="5" t="s">
        <v>706</v>
      </c>
      <c r="D9" s="5" t="s">
        <v>707</v>
      </c>
    </row>
    <row r="10" customFormat="false" ht="57.75" hidden="false" customHeight="true" outlineLevel="0" collapsed="false">
      <c r="A10" s="9" t="s">
        <v>708</v>
      </c>
      <c r="B10" s="5" t="s">
        <v>709</v>
      </c>
      <c r="C10" s="5" t="s">
        <v>710</v>
      </c>
      <c r="D10" s="5" t="s">
        <v>74</v>
      </c>
    </row>
    <row r="11" customFormat="false" ht="57.75" hidden="false" customHeight="true" outlineLevel="0" collapsed="false">
      <c r="A11" s="9" t="s">
        <v>711</v>
      </c>
      <c r="B11" s="5" t="s">
        <v>712</v>
      </c>
      <c r="C11" s="5" t="s">
        <v>713</v>
      </c>
      <c r="D11" s="5" t="s">
        <v>714</v>
      </c>
    </row>
    <row r="12" customFormat="false" ht="57.75" hidden="false" customHeight="true" outlineLevel="0" collapsed="false">
      <c r="A12" s="9" t="s">
        <v>715</v>
      </c>
      <c r="B12" s="5" t="s">
        <v>716</v>
      </c>
      <c r="C12" s="5" t="s">
        <v>717</v>
      </c>
      <c r="D12" s="5" t="s">
        <v>718</v>
      </c>
    </row>
    <row r="13" customFormat="false" ht="57.75" hidden="false" customHeight="true" outlineLevel="0" collapsed="false">
      <c r="A13" s="9" t="s">
        <v>719</v>
      </c>
      <c r="B13" s="5" t="s">
        <v>720</v>
      </c>
      <c r="C13" s="5" t="s">
        <v>721</v>
      </c>
      <c r="D13" s="5" t="s">
        <v>74</v>
      </c>
    </row>
    <row r="14" customFormat="false" ht="57.75" hidden="false" customHeight="true" outlineLevel="0" collapsed="false">
      <c r="A14" s="9" t="s">
        <v>722</v>
      </c>
      <c r="B14" s="5" t="s">
        <v>723</v>
      </c>
      <c r="C14" s="5" t="s">
        <v>724</v>
      </c>
      <c r="D14" s="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726</v>
      </c>
    </row>
    <row r="2" customFormat="false" ht="15" hidden="false" customHeight="false" outlineLevel="0" collapsed="false">
      <c r="A2" s="2" t="s">
        <v>727</v>
      </c>
    </row>
    <row r="4" customFormat="false" ht="15" hidden="false" customHeight="false" outlineLevel="0" collapsed="false">
      <c r="A4" s="17" t="s">
        <v>728</v>
      </c>
      <c r="B4" s="17" t="s">
        <v>688</v>
      </c>
      <c r="C4" s="17" t="s">
        <v>729</v>
      </c>
    </row>
    <row r="5" customFormat="false" ht="15" hidden="false" customHeight="false" outlineLevel="0" collapsed="false">
      <c r="A5" s="9" t="s">
        <v>730</v>
      </c>
      <c r="B5" s="5" t="s">
        <v>731</v>
      </c>
      <c r="C5" s="58" t="s">
        <v>732</v>
      </c>
    </row>
    <row r="6" customFormat="false" ht="15" hidden="false" customHeight="false" outlineLevel="0" collapsed="false">
      <c r="A6" s="9" t="s">
        <v>733</v>
      </c>
      <c r="B6" s="5" t="s">
        <v>734</v>
      </c>
      <c r="C6" s="58" t="s">
        <v>735</v>
      </c>
    </row>
    <row r="7" customFormat="false" ht="15" hidden="false" customHeight="false" outlineLevel="0" collapsed="false">
      <c r="A7" s="9" t="s">
        <v>736</v>
      </c>
      <c r="B7" s="5" t="s">
        <v>737</v>
      </c>
      <c r="C7" s="58" t="s">
        <v>738</v>
      </c>
    </row>
    <row r="8" customFormat="false" ht="15" hidden="false" customHeight="false" outlineLevel="0" collapsed="false">
      <c r="A8" s="9" t="s">
        <v>739</v>
      </c>
      <c r="B8" s="5" t="s">
        <v>740</v>
      </c>
      <c r="C8" s="58" t="s">
        <v>741</v>
      </c>
    </row>
    <row r="9" customFormat="false" ht="15" hidden="false" customHeight="false" outlineLevel="0" collapsed="false">
      <c r="A9" s="9" t="s">
        <v>742</v>
      </c>
      <c r="B9" s="5" t="s">
        <v>743</v>
      </c>
      <c r="C9" s="58" t="s">
        <v>744</v>
      </c>
    </row>
    <row r="10" customFormat="false" ht="15" hidden="false" customHeight="false" outlineLevel="0" collapsed="false">
      <c r="A10" s="9" t="s">
        <v>745</v>
      </c>
      <c r="B10" s="5" t="s">
        <v>746</v>
      </c>
      <c r="C10" s="58" t="s">
        <v>747</v>
      </c>
    </row>
    <row r="11" customFormat="false" ht="15" hidden="false" customHeight="false" outlineLevel="0" collapsed="false">
      <c r="A11" s="9" t="s">
        <v>748</v>
      </c>
      <c r="B11" s="5" t="s">
        <v>749</v>
      </c>
      <c r="C11" s="58" t="s">
        <v>750</v>
      </c>
    </row>
    <row r="12" customFormat="false" ht="15" hidden="false" customHeight="false" outlineLevel="0" collapsed="false">
      <c r="A12" s="9" t="s">
        <v>751</v>
      </c>
      <c r="B12" s="5" t="s">
        <v>752</v>
      </c>
      <c r="C12" s="58" t="s">
        <v>753</v>
      </c>
    </row>
    <row r="13" customFormat="false" ht="15" hidden="false" customHeight="false" outlineLevel="0" collapsed="false">
      <c r="A13" s="9" t="s">
        <v>754</v>
      </c>
      <c r="B13" s="5" t="s">
        <v>755</v>
      </c>
      <c r="C13" s="58" t="s">
        <v>756</v>
      </c>
    </row>
    <row r="14" customFormat="false" ht="15" hidden="false" customHeight="false" outlineLevel="0" collapsed="false">
      <c r="A14" s="9" t="s">
        <v>757</v>
      </c>
      <c r="B14" s="5" t="s">
        <v>758</v>
      </c>
      <c r="C14" s="58" t="s">
        <v>759</v>
      </c>
    </row>
    <row r="15" customFormat="false" ht="15" hidden="false" customHeight="false" outlineLevel="0" collapsed="false">
      <c r="A15" s="9" t="s">
        <v>760</v>
      </c>
      <c r="B15" s="5" t="s">
        <v>761</v>
      </c>
      <c r="C15" s="58" t="s">
        <v>762</v>
      </c>
    </row>
    <row r="16" customFormat="false" ht="15" hidden="false" customHeight="false" outlineLevel="0" collapsed="false">
      <c r="A16" s="9" t="s">
        <v>763</v>
      </c>
      <c r="B16" s="5" t="s">
        <v>764</v>
      </c>
      <c r="C16" s="58" t="s">
        <v>765</v>
      </c>
    </row>
    <row r="17" customFormat="false" ht="15" hidden="false" customHeight="false" outlineLevel="0" collapsed="false">
      <c r="A17" s="9" t="s">
        <v>766</v>
      </c>
      <c r="B17" s="5" t="s">
        <v>767</v>
      </c>
      <c r="C17" s="58" t="s">
        <v>768</v>
      </c>
    </row>
    <row r="18" customFormat="false" ht="15" hidden="false" customHeight="false" outlineLevel="0" collapsed="false">
      <c r="A18" s="9" t="s">
        <v>769</v>
      </c>
      <c r="B18" s="5" t="s">
        <v>770</v>
      </c>
      <c r="C18" s="58" t="s">
        <v>771</v>
      </c>
    </row>
    <row r="19" customFormat="false" ht="15" hidden="false" customHeight="false" outlineLevel="0" collapsed="false">
      <c r="A19" s="9" t="s">
        <v>772</v>
      </c>
      <c r="B19" s="5" t="s">
        <v>773</v>
      </c>
      <c r="C19" s="58" t="s">
        <v>774</v>
      </c>
    </row>
    <row r="20" customFormat="false" ht="15" hidden="false" customHeight="false" outlineLevel="0" collapsed="false">
      <c r="A20" s="9" t="s">
        <v>775</v>
      </c>
      <c r="B20" s="5" t="s">
        <v>776</v>
      </c>
      <c r="C20" s="58" t="s">
        <v>777</v>
      </c>
    </row>
    <row r="21" customFormat="false" ht="15" hidden="false" customHeight="false" outlineLevel="0" collapsed="false">
      <c r="A21" s="9" t="s">
        <v>778</v>
      </c>
      <c r="B21" s="5" t="s">
        <v>779</v>
      </c>
      <c r="C21" s="58" t="s">
        <v>780</v>
      </c>
    </row>
    <row r="22" customFormat="false" ht="15" hidden="false" customHeight="false" outlineLevel="0" collapsed="false">
      <c r="A22" s="9" t="s">
        <v>781</v>
      </c>
      <c r="B22" s="5" t="s">
        <v>782</v>
      </c>
      <c r="C22" s="58" t="s">
        <v>783</v>
      </c>
    </row>
    <row r="23" customFormat="false" ht="23.85" hidden="false" customHeight="false" outlineLevel="0" collapsed="false">
      <c r="A23" s="9" t="s">
        <v>784</v>
      </c>
      <c r="B23" s="5" t="s">
        <v>785</v>
      </c>
      <c r="C23" s="58" t="s">
        <v>786</v>
      </c>
    </row>
    <row r="24" customFormat="false" ht="15" hidden="false" customHeight="false" outlineLevel="0" collapsed="false">
      <c r="A24" s="9" t="s">
        <v>787</v>
      </c>
      <c r="B24" s="5" t="s">
        <v>788</v>
      </c>
      <c r="C24" s="58" t="s">
        <v>789</v>
      </c>
    </row>
    <row r="25" customFormat="false" ht="15" hidden="false" customHeight="false" outlineLevel="0" collapsed="false">
      <c r="A25" s="9" t="s">
        <v>790</v>
      </c>
      <c r="B25" s="5" t="s">
        <v>791</v>
      </c>
      <c r="C25" s="58" t="s">
        <v>792</v>
      </c>
    </row>
    <row r="26" customFormat="false" ht="15" hidden="false" customHeight="false" outlineLevel="0" collapsed="false">
      <c r="A26" s="9" t="s">
        <v>793</v>
      </c>
      <c r="B26" s="5" t="s">
        <v>794</v>
      </c>
      <c r="C26" s="58" t="s">
        <v>795</v>
      </c>
    </row>
    <row r="27" customFormat="false" ht="15" hidden="false" customHeight="false" outlineLevel="0" collapsed="false">
      <c r="A27" s="9" t="s">
        <v>796</v>
      </c>
      <c r="B27" s="5" t="s">
        <v>797</v>
      </c>
      <c r="C27" s="58" t="s">
        <v>798</v>
      </c>
    </row>
    <row r="28" customFormat="false" ht="15" hidden="false" customHeight="false" outlineLevel="0" collapsed="false">
      <c r="A28" s="9" t="s">
        <v>799</v>
      </c>
      <c r="B28" s="5" t="s">
        <v>800</v>
      </c>
      <c r="C28" s="58" t="s">
        <v>801</v>
      </c>
    </row>
    <row r="29" customFormat="false" ht="15" hidden="false" customHeight="false" outlineLevel="0" collapsed="false">
      <c r="A29" s="9" t="s">
        <v>802</v>
      </c>
      <c r="B29" s="5" t="s">
        <v>803</v>
      </c>
      <c r="C29" s="58" t="s">
        <v>804</v>
      </c>
    </row>
    <row r="30" customFormat="false" ht="15" hidden="false" customHeight="false" outlineLevel="0" collapsed="false">
      <c r="A30" s="9" t="s">
        <v>805</v>
      </c>
      <c r="B30" s="5" t="s">
        <v>806</v>
      </c>
      <c r="C30" s="58" t="s">
        <v>807</v>
      </c>
    </row>
    <row r="31" customFormat="false" ht="15" hidden="false" customHeight="false" outlineLevel="0" collapsed="false">
      <c r="A31" s="9" t="s">
        <v>808</v>
      </c>
      <c r="B31" s="5" t="s">
        <v>809</v>
      </c>
      <c r="C31" s="58" t="s">
        <v>810</v>
      </c>
    </row>
    <row r="32" customFormat="false" ht="23.85" hidden="false" customHeight="false" outlineLevel="0" collapsed="false">
      <c r="A32" s="9" t="s">
        <v>811</v>
      </c>
      <c r="B32" s="5" t="s">
        <v>812</v>
      </c>
      <c r="C32" s="58" t="s">
        <v>813</v>
      </c>
    </row>
    <row r="33" customFormat="false" ht="15" hidden="false" customHeight="false" outlineLevel="0" collapsed="false">
      <c r="A33" s="9" t="s">
        <v>814</v>
      </c>
      <c r="B33" s="5" t="s">
        <v>815</v>
      </c>
      <c r="C33" s="58" t="s">
        <v>816</v>
      </c>
    </row>
    <row r="34" customFormat="false" ht="15" hidden="false" customHeight="false" outlineLevel="0" collapsed="false">
      <c r="A34" s="9" t="s">
        <v>817</v>
      </c>
      <c r="B34" s="5" t="s">
        <v>818</v>
      </c>
      <c r="C34" s="58" t="s">
        <v>819</v>
      </c>
    </row>
    <row r="35" customFormat="false" ht="15" hidden="false" customHeight="false" outlineLevel="0" collapsed="false">
      <c r="A35" s="9" t="s">
        <v>820</v>
      </c>
      <c r="B35" s="5" t="s">
        <v>821</v>
      </c>
      <c r="C35" s="58" t="s">
        <v>822</v>
      </c>
    </row>
    <row r="36" customFormat="false" ht="23.85" hidden="false" customHeight="false" outlineLevel="0" collapsed="false">
      <c r="A36" s="9" t="s">
        <v>823</v>
      </c>
      <c r="B36" s="5" t="s">
        <v>824</v>
      </c>
      <c r="C36" s="58" t="s">
        <v>825</v>
      </c>
    </row>
  </sheetData>
  <hyperlinks>
    <hyperlink ref="C5" r:id="rId1" display="https://tradingeconomics.com/india/currency"/>
    <hyperlink ref="C6" r:id="rId2" display="https://www.agrifarming.in/grand-nain-g9-banana-farming-in-india-a-cultivation-guide-to-planting-to-harvesting"/>
    <hyperlink ref="C7" r:id="rId3" display="https://agropotli.com/banana-farming-in-india-complete-guide-2026/"/>
    <hyperlink ref="C8" r:id="rId4" display="https://deshgujarat.com/2024/11/11/gujarat-ranks-3rd-in-banana-production-nationwide-tops-in-productivity-per-hectare-globally/"/>
    <hyperlink ref="C9" r:id="rId5" display="https://www.swasya.com/blog/cost-to-lease-farmland-in-india"/>
    <hyperlink ref="C10" r:id="rId6" display="https://www.sgcms.com/regulatory-updates/minimum-rate-of-wages-gujarat-april-2026/"/>
    <hyperlink ref="C11" r:id="rId7" display="https://www.researchgate.net/publication/304528951_Comparative_economics_of_Banana_cultivation_in_Anand_district_of_Gujarat"/>
    <hyperlink ref="C12" r:id="rId8" display="https://www.netafimindia.com/blog/cost-and-roi-of-banana-drip-irrigation-per-acre/"/>
    <hyperlink ref="C13" r:id="rId9" display="https://www.indiamart.com/proddetail/banana-13-kg-export-corrugated-packing-box-23108020130.html"/>
    <hyperlink ref="C14" r:id="rId10" display="https://eximinternationals.com/cavendish-banana-export-packaging-specifications/"/>
    <hyperlink ref="C15" r:id="rId11" display="https://eximinternationals.com/import-bananas-from-india-to-uae"/>
    <hyperlink ref="C16" r:id="rId12" display="https://www.naturalfibercompany.com/blogs/news/the-agro-waste-problem-banana-cultivation-pseudostem-volumes-and-the-climate-cost-of-current-disposal-practices"/>
    <hyperlink ref="C17" r:id="rId13" display="https://bridgewaypower.in/blog/gujarat-gerc-ht-tariff-2026-27"/>
    <hyperlink ref="C18" r:id="rId14" display="https://al-aweer-wholesale-market-price.blogspot.com/"/>
    <hyperlink ref="C19" r:id="rId15" display="https://eximinternationals.com/import-cavendish-banana-to-uae/"/>
    <hyperlink ref="C20" r:id="rId16" display="https://www.freshplaza.com/north-america/article/9815802/middle-east-war-halts-india-s-banana-exports-prices-plunge-33/"/>
    <hyperlink ref="C21" r:id="rId17" display="https://globy.com/quick-logistics/from-india/from-mundra/to-united-arab-emirates/to-jebel-ali"/>
    <hyperlink ref="C22" r:id="rId18" display="https://www.ttl-co.com/en/blog/war-risk-surcharge-gulf-shipping-2026"/>
    <hyperlink ref="C23" r:id="rId19" display="https://straits.live/"/>
    <hyperlink ref="C24" r:id="rId20" display="https://mandipulse.com/mandi-bhav/gujarat/banana"/>
    <hyperlink ref="C25" r:id="rId21" display="https://www.bigbasket.com/pd/10000025/fresho-banana-robusta-1-kg/"/>
    <hyperlink ref="C26" r:id="rId22" display="https://nhb.gov.in/writereaddata/082825102800MIDH%20Guideline%202025.pdf"/>
    <hyperlink ref="C27" r:id="rId23" display="https://schemesinindia.in/central/agri-infrastructure-fund"/>
    <hyperlink ref="C28" r:id="rId24" display="https://www.indiamart.com/proddetail/integrated-garding-packing-pack-house-25383226455.html"/>
    <hyperlink ref="C29" r:id="rId25" display="https://phoenixxsmartbuild.com/resources/blogs/cold-storage-cost-per-mt-india"/>
    <hyperlink ref="C30" r:id="rId26" display="https://www.nsspl.in/banana-ripening-chamber-project-cost/"/>
    <hyperlink ref="C31" r:id="rId27" display="https://dir.indiamart.com/impcat/banana-flour.html"/>
    <hyperlink ref="C32" r:id="rId28" display="https://www.naturalfibercompany.com/blogs/banana-fiber-sustainable-textiles/banana-fiber-extraction-process-methods-machines-commercial-scale"/>
    <hyperlink ref="C33" r:id="rId29" display="https://dir.indiamart.com/impcat/banana-fiber.html"/>
    <hyperlink ref="C34" r:id="rId30" display="https://www.indiamart.com/proddetail/banana-pseudostem-based-organic-liquid-fertilizer-21091753830.html"/>
    <hyperlink ref="C35" r:id="rId31" display="https://dir.indiamart.com/ahmedabad/vermi-compost-fertilizer.html"/>
    <hyperlink ref="C36" r:id="rId32" display="https://nhb.gov.in/Training/Brochure/FRT_Banana_DesaiFruits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18.75"/>
    <col collapsed="false" customWidth="true" hidden="false" outlineLevel="0" max="3" min="3" style="0" width="15.75"/>
    <col collapsed="false" customWidth="true" hidden="false" outlineLevel="0" max="4" min="4" style="0" width="33.13"/>
    <col collapsed="false" customWidth="true" hidden="false" outlineLevel="0" max="5" min="5" style="0" width="10.38"/>
    <col collapsed="false" customWidth="true" hidden="false" outlineLevel="0" max="6" min="6" style="0" width="25.75"/>
  </cols>
  <sheetData>
    <row r="1" customFormat="false" ht="28.35" hidden="false" customHeight="false" outlineLevel="0" collapsed="false">
      <c r="A1" s="59" t="s">
        <v>826</v>
      </c>
      <c r="B1" s="59" t="s">
        <v>827</v>
      </c>
      <c r="C1" s="60" t="s">
        <v>828</v>
      </c>
      <c r="D1" s="59" t="s">
        <v>829</v>
      </c>
      <c r="I1" s="2" t="s">
        <v>830</v>
      </c>
    </row>
    <row r="2" customFormat="false" ht="15" hidden="false" customHeight="false" outlineLevel="0" collapsed="false">
      <c r="A2" s="61" t="s">
        <v>831</v>
      </c>
      <c r="B2" s="61" t="s">
        <v>832</v>
      </c>
      <c r="C2" s="61" t="s">
        <v>833</v>
      </c>
      <c r="D2" s="62" t="s">
        <v>834</v>
      </c>
    </row>
    <row r="3" customFormat="false" ht="15" hidden="false" customHeight="false" outlineLevel="0" collapsed="false">
      <c r="A3" s="61" t="s">
        <v>835</v>
      </c>
      <c r="B3" s="61" t="s">
        <v>836</v>
      </c>
      <c r="C3" s="61" t="s">
        <v>837</v>
      </c>
      <c r="D3" s="62" t="s">
        <v>838</v>
      </c>
    </row>
    <row r="4" customFormat="false" ht="102.95" hidden="false" customHeight="false" outlineLevel="0" collapsed="false">
      <c r="A4" s="63" t="s">
        <v>839</v>
      </c>
      <c r="B4" s="63" t="s">
        <v>840</v>
      </c>
      <c r="C4" s="63" t="s">
        <v>841</v>
      </c>
      <c r="D4" s="64" t="s">
        <v>842</v>
      </c>
      <c r="E4" s="65" t="s">
        <v>843</v>
      </c>
      <c r="F4" s="66" t="s">
        <v>844</v>
      </c>
      <c r="G4" s="67" t="s">
        <v>845</v>
      </c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customFormat="false" ht="15" hidden="false" customHeight="false" outlineLevel="0" collapsed="false">
      <c r="A5" s="61" t="s">
        <v>846</v>
      </c>
      <c r="B5" s="61" t="s">
        <v>847</v>
      </c>
      <c r="C5" s="61" t="s">
        <v>848</v>
      </c>
      <c r="D5" s="62" t="s">
        <v>849</v>
      </c>
    </row>
    <row r="6" customFormat="false" ht="15" hidden="false" customHeight="false" outlineLevel="0" collapsed="false">
      <c r="A6" s="61" t="s">
        <v>850</v>
      </c>
      <c r="B6" s="61"/>
      <c r="C6" s="61"/>
      <c r="D6" s="62"/>
    </row>
    <row r="7" customFormat="false" ht="15" hidden="false" customHeight="false" outlineLevel="0" collapsed="false">
      <c r="A7" s="61" t="s">
        <v>851</v>
      </c>
      <c r="B7" s="61"/>
      <c r="C7" s="61"/>
      <c r="D7" s="62"/>
    </row>
    <row r="8" customFormat="false" ht="15" hidden="false" customHeight="false" outlineLevel="0" collapsed="false">
      <c r="A8" s="61" t="s">
        <v>852</v>
      </c>
      <c r="B8" s="61"/>
      <c r="C8" s="61"/>
      <c r="D8" s="62"/>
    </row>
    <row r="9" customFormat="false" ht="15" hidden="false" customHeight="false" outlineLevel="0" collapsed="false">
      <c r="A9" s="61" t="s">
        <v>853</v>
      </c>
      <c r="B9" s="61"/>
      <c r="C9" s="61"/>
      <c r="D9" s="62"/>
    </row>
    <row r="10" customFormat="false" ht="15" hidden="false" customHeight="false" outlineLevel="0" collapsed="false">
      <c r="A10" s="61" t="s">
        <v>854</v>
      </c>
      <c r="B10" s="61"/>
      <c r="C10" s="61"/>
      <c r="D10" s="62"/>
    </row>
    <row r="11" customFormat="false" ht="15" hidden="false" customHeight="false" outlineLevel="0" collapsed="false">
      <c r="A11" s="61"/>
      <c r="B11" s="61"/>
      <c r="C11" s="61"/>
      <c r="D11" s="62"/>
    </row>
    <row r="12" customFormat="false" ht="15" hidden="false" customHeight="false" outlineLevel="0" collapsed="false">
      <c r="A12" s="61" t="s">
        <v>855</v>
      </c>
      <c r="B12" s="61" t="s">
        <v>856</v>
      </c>
      <c r="C12" s="61" t="s">
        <v>857</v>
      </c>
      <c r="D12" s="62" t="s">
        <v>858</v>
      </c>
    </row>
    <row r="13" customFormat="false" ht="15" hidden="false" customHeight="false" outlineLevel="0" collapsed="false">
      <c r="A13" s="61"/>
      <c r="B13" s="61"/>
      <c r="C13" s="61"/>
      <c r="D13" s="62"/>
    </row>
    <row r="14" customFormat="false" ht="15" hidden="false" customHeight="false" outlineLevel="0" collapsed="false">
      <c r="A14" s="61" t="s">
        <v>859</v>
      </c>
      <c r="B14" s="61" t="s">
        <v>860</v>
      </c>
      <c r="C14" s="61" t="s">
        <v>861</v>
      </c>
      <c r="D14" s="62" t="s">
        <v>862</v>
      </c>
    </row>
    <row r="15" customFormat="false" ht="15" hidden="false" customHeight="false" outlineLevel="0" collapsed="false">
      <c r="A15" s="61" t="s">
        <v>863</v>
      </c>
      <c r="B15" s="61" t="s">
        <v>864</v>
      </c>
      <c r="C15" s="61" t="s">
        <v>865</v>
      </c>
      <c r="D15" s="62" t="s">
        <v>866</v>
      </c>
    </row>
    <row r="16" customFormat="false" ht="15" hidden="false" customHeight="false" outlineLevel="0" collapsed="false">
      <c r="A16" s="61" t="s">
        <v>867</v>
      </c>
      <c r="B16" s="61" t="s">
        <v>868</v>
      </c>
      <c r="C16" s="61" t="s">
        <v>869</v>
      </c>
      <c r="D16" s="62" t="s">
        <v>870</v>
      </c>
    </row>
    <row r="17" customFormat="false" ht="64.9" hidden="false" customHeight="false" outlineLevel="0" collapsed="false">
      <c r="A17" s="63" t="s">
        <v>871</v>
      </c>
      <c r="B17" s="63" t="s">
        <v>872</v>
      </c>
      <c r="C17" s="63" t="s">
        <v>873</v>
      </c>
      <c r="D17" s="64" t="s">
        <v>874</v>
      </c>
      <c r="E17" s="65" t="s">
        <v>843</v>
      </c>
      <c r="F17" s="66" t="s">
        <v>875</v>
      </c>
      <c r="G17" s="67" t="s">
        <v>876</v>
      </c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customFormat="false" ht="15" hidden="false" customHeight="false" outlineLevel="0" collapsed="false">
      <c r="A18" s="61" t="s">
        <v>877</v>
      </c>
      <c r="B18" s="61" t="s">
        <v>878</v>
      </c>
      <c r="C18" s="61" t="s">
        <v>879</v>
      </c>
      <c r="D18" s="61" t="s">
        <v>880</v>
      </c>
    </row>
    <row r="19" customFormat="false" ht="15" hidden="false" customHeight="false" outlineLevel="0" collapsed="false">
      <c r="D19" s="68"/>
    </row>
    <row r="20" customFormat="false" ht="15" hidden="false" customHeight="false" outlineLevel="0" collapsed="false">
      <c r="A20" s="68" t="s">
        <v>881</v>
      </c>
      <c r="D20" s="68"/>
    </row>
    <row r="21" customFormat="false" ht="15" hidden="false" customHeight="false" outlineLevel="0" collapsed="false">
      <c r="A21" s="68" t="s">
        <v>882</v>
      </c>
      <c r="D21" s="68"/>
    </row>
    <row r="22" customFormat="false" ht="15" hidden="false" customHeight="false" outlineLevel="0" collapsed="false">
      <c r="A22" s="68" t="s">
        <v>883</v>
      </c>
      <c r="D22" s="68"/>
    </row>
    <row r="23" customFormat="false" ht="15" hidden="false" customHeight="false" outlineLevel="0" collapsed="false">
      <c r="A23" s="68" t="s">
        <v>884</v>
      </c>
      <c r="D23" s="68"/>
    </row>
    <row r="24" customFormat="false" ht="15" hidden="false" customHeight="false" outlineLevel="0" collapsed="false">
      <c r="D24" s="68"/>
    </row>
    <row r="25" customFormat="false" ht="15" hidden="false" customHeight="false" outlineLevel="0" collapsed="false">
      <c r="A25" s="68" t="s">
        <v>885</v>
      </c>
      <c r="B25" s="68" t="n">
        <v>14</v>
      </c>
      <c r="D25" s="68"/>
    </row>
    <row r="26" customFormat="false" ht="15" hidden="false" customHeight="false" outlineLevel="0" collapsed="false">
      <c r="A26" s="68" t="s">
        <v>886</v>
      </c>
      <c r="B26" s="68"/>
      <c r="D26" s="68"/>
    </row>
    <row r="27" customFormat="false" ht="15" hidden="false" customHeight="false" outlineLevel="0" collapsed="false">
      <c r="A27" s="68" t="s">
        <v>887</v>
      </c>
      <c r="B27" s="68"/>
      <c r="D27" s="68"/>
    </row>
    <row r="28" customFormat="false" ht="15" hidden="false" customHeight="false" outlineLevel="0" collapsed="false">
      <c r="A28" s="68" t="s">
        <v>888</v>
      </c>
      <c r="B28" s="68"/>
      <c r="D28" s="68"/>
    </row>
    <row r="29" customFormat="false" ht="15" hidden="false" customHeight="false" outlineLevel="0" collapsed="false">
      <c r="A29" s="68" t="s">
        <v>889</v>
      </c>
      <c r="B29" s="68"/>
      <c r="D29" s="68"/>
    </row>
    <row r="30" customFormat="false" ht="15" hidden="false" customHeight="false" outlineLevel="0" collapsed="false">
      <c r="A30" s="68" t="s">
        <v>890</v>
      </c>
      <c r="B30" s="68"/>
      <c r="D30" s="68"/>
    </row>
    <row r="31" customFormat="false" ht="15" hidden="false" customHeight="false" outlineLevel="0" collapsed="false">
      <c r="A31" s="68" t="s">
        <v>891</v>
      </c>
      <c r="B31" s="68"/>
      <c r="D31" s="68"/>
    </row>
    <row r="32" customFormat="false" ht="15" hidden="false" customHeight="false" outlineLevel="0" collapsed="false">
      <c r="D32" s="68"/>
    </row>
    <row r="33" customFormat="false" ht="15" hidden="false" customHeight="false" outlineLevel="0" collapsed="false">
      <c r="A33" s="69" t="s">
        <v>892</v>
      </c>
      <c r="D33" s="68"/>
    </row>
    <row r="34" customFormat="false" ht="15" hidden="false" customHeight="false" outlineLevel="0" collapsed="false">
      <c r="A34" s="70" t="s">
        <v>893</v>
      </c>
      <c r="B34" s="68" t="n">
        <v>1</v>
      </c>
      <c r="D34" s="68"/>
    </row>
    <row r="35" customFormat="false" ht="15" hidden="false" customHeight="false" outlineLevel="0" collapsed="false">
      <c r="A35" s="70" t="s">
        <v>894</v>
      </c>
      <c r="B35" s="68"/>
      <c r="D35" s="68"/>
    </row>
    <row r="36" customFormat="false" ht="15" hidden="false" customHeight="false" outlineLevel="0" collapsed="false">
      <c r="D36" s="68"/>
    </row>
    <row r="37" customFormat="false" ht="15" hidden="false" customHeight="false" outlineLevel="0" collapsed="false">
      <c r="A37" s="69" t="s">
        <v>895</v>
      </c>
      <c r="D37" s="68"/>
    </row>
    <row r="38" customFormat="false" ht="15" hidden="false" customHeight="false" outlineLevel="0" collapsed="false">
      <c r="A38" s="68" t="s">
        <v>889</v>
      </c>
      <c r="D38" s="68"/>
    </row>
    <row r="39" customFormat="false" ht="15" hidden="false" customHeight="false" outlineLevel="0" collapsed="false">
      <c r="A39" s="68" t="s">
        <v>896</v>
      </c>
      <c r="D39" s="68"/>
    </row>
    <row r="40" customFormat="false" ht="15" hidden="false" customHeight="false" outlineLevel="0" collapsed="false">
      <c r="A40" s="68" t="s">
        <v>897</v>
      </c>
      <c r="D40" s="68"/>
    </row>
    <row r="41" customFormat="false" ht="15" hidden="false" customHeight="false" outlineLevel="0" collapsed="false">
      <c r="A41" s="68" t="s">
        <v>898</v>
      </c>
      <c r="D41" s="68"/>
    </row>
    <row r="42" customFormat="false" ht="15" hidden="false" customHeight="false" outlineLevel="0" collapsed="false">
      <c r="A42" s="68" t="s">
        <v>899</v>
      </c>
      <c r="D42" s="68"/>
    </row>
    <row r="43" customFormat="false" ht="15" hidden="false" customHeight="false" outlineLevel="0" collapsed="false">
      <c r="A43" s="68" t="s">
        <v>900</v>
      </c>
      <c r="D43" s="68"/>
    </row>
    <row r="44" customFormat="false" ht="15" hidden="false" customHeight="false" outlineLevel="0" collapsed="false">
      <c r="D44" s="68"/>
    </row>
    <row r="45" customFormat="false" ht="15" hidden="false" customHeight="false" outlineLevel="0" collapsed="false">
      <c r="D45" s="68"/>
    </row>
    <row r="46" customFormat="false" ht="15" hidden="false" customHeight="false" outlineLevel="0" collapsed="false">
      <c r="A46" s="68" t="s">
        <v>901</v>
      </c>
      <c r="D46" s="68"/>
    </row>
    <row r="47" customFormat="false" ht="15" hidden="false" customHeight="false" outlineLevel="0" collapsed="false">
      <c r="D47" s="68"/>
    </row>
    <row r="48" customFormat="false" ht="15" hidden="false" customHeight="false" outlineLevel="0" collapsed="false">
      <c r="D48" s="68"/>
    </row>
    <row r="49" customFormat="false" ht="15" hidden="false" customHeight="false" outlineLevel="0" collapsed="false">
      <c r="A49" s="69" t="s">
        <v>902</v>
      </c>
      <c r="D49" s="68"/>
    </row>
    <row r="50" customFormat="false" ht="15" hidden="false" customHeight="false" outlineLevel="0" collapsed="false">
      <c r="A50" s="68" t="s">
        <v>903</v>
      </c>
      <c r="D50" s="68"/>
    </row>
    <row r="51" customFormat="false" ht="15" hidden="false" customHeight="false" outlineLevel="0" collapsed="false">
      <c r="A51" s="68" t="s">
        <v>904</v>
      </c>
      <c r="D51" s="68"/>
    </row>
    <row r="52" customFormat="false" ht="15" hidden="false" customHeight="false" outlineLevel="0" collapsed="false">
      <c r="A52" s="68" t="s">
        <v>905</v>
      </c>
      <c r="D52" s="68"/>
    </row>
    <row r="53" customFormat="false" ht="15" hidden="false" customHeight="false" outlineLevel="0" collapsed="false">
      <c r="A53" s="68" t="s">
        <v>906</v>
      </c>
      <c r="D53" s="68"/>
    </row>
    <row r="54" customFormat="false" ht="15" hidden="false" customHeight="false" outlineLevel="0" collapsed="false">
      <c r="A54" s="68" t="s">
        <v>907</v>
      </c>
      <c r="D54" s="68"/>
    </row>
    <row r="55" customFormat="false" ht="15" hidden="false" customHeight="false" outlineLevel="0" collapsed="false">
      <c r="A55" s="67" t="s">
        <v>908</v>
      </c>
      <c r="D55" s="68"/>
    </row>
    <row r="56" customFormat="false" ht="15" hidden="false" customHeight="false" outlineLevel="0" collapsed="false">
      <c r="D56" s="68"/>
    </row>
    <row r="57" customFormat="false" ht="15" hidden="false" customHeight="false" outlineLevel="0" collapsed="false">
      <c r="D57" s="68"/>
    </row>
    <row r="58" customFormat="false" ht="15" hidden="false" customHeight="false" outlineLevel="0" collapsed="false">
      <c r="D58" s="68"/>
    </row>
    <row r="59" customFormat="false" ht="15" hidden="false" customHeight="false" outlineLevel="0" collapsed="false">
      <c r="D59" s="68"/>
    </row>
    <row r="60" customFormat="false" ht="15" hidden="false" customHeight="false" outlineLevel="0" collapsed="false">
      <c r="D60" s="68"/>
    </row>
    <row r="61" customFormat="false" ht="15" hidden="false" customHeight="false" outlineLevel="0" collapsed="false">
      <c r="D61" s="68"/>
    </row>
    <row r="62" customFormat="false" ht="15" hidden="false" customHeight="false" outlineLevel="0" collapsed="false">
      <c r="D62" s="68"/>
    </row>
    <row r="63" customFormat="false" ht="15" hidden="false" customHeight="false" outlineLevel="0" collapsed="false">
      <c r="D63" s="68"/>
    </row>
    <row r="64" customFormat="false" ht="15" hidden="false" customHeight="false" outlineLevel="0" collapsed="false">
      <c r="D64" s="68"/>
    </row>
    <row r="65" customFormat="false" ht="15" hidden="false" customHeight="false" outlineLevel="0" collapsed="false">
      <c r="D65" s="68"/>
    </row>
    <row r="66" customFormat="false" ht="15" hidden="false" customHeight="false" outlineLevel="0" collapsed="false">
      <c r="D66" s="68"/>
    </row>
    <row r="67" customFormat="false" ht="15" hidden="false" customHeight="false" outlineLevel="0" collapsed="false">
      <c r="D67" s="68"/>
    </row>
    <row r="68" customFormat="false" ht="15" hidden="false" customHeight="false" outlineLevel="0" collapsed="false">
      <c r="D68" s="68"/>
    </row>
    <row r="69" customFormat="false" ht="15" hidden="false" customHeight="false" outlineLevel="0" collapsed="false">
      <c r="D69" s="68"/>
    </row>
    <row r="70" customFormat="false" ht="15" hidden="false" customHeight="false" outlineLevel="0" collapsed="false">
      <c r="D70" s="68"/>
    </row>
    <row r="71" customFormat="false" ht="15" hidden="false" customHeight="false" outlineLevel="0" collapsed="false">
      <c r="D71" s="68"/>
    </row>
    <row r="72" customFormat="false" ht="15" hidden="false" customHeight="false" outlineLevel="0" collapsed="false">
      <c r="D72" s="68"/>
    </row>
    <row r="73" customFormat="false" ht="15" hidden="false" customHeight="false" outlineLevel="0" collapsed="false">
      <c r="D73" s="68"/>
    </row>
    <row r="74" customFormat="false" ht="15" hidden="false" customHeight="false" outlineLevel="0" collapsed="false">
      <c r="D74" s="68"/>
    </row>
    <row r="75" customFormat="false" ht="15" hidden="false" customHeight="false" outlineLevel="0" collapsed="false">
      <c r="D75" s="68"/>
    </row>
    <row r="76" customFormat="false" ht="15" hidden="false" customHeight="false" outlineLevel="0" collapsed="false">
      <c r="D76" s="68"/>
    </row>
    <row r="77" customFormat="false" ht="15" hidden="false" customHeight="false" outlineLevel="0" collapsed="false">
      <c r="D77" s="68"/>
    </row>
    <row r="78" customFormat="false" ht="15" hidden="false" customHeight="false" outlineLevel="0" collapsed="false">
      <c r="D78" s="68"/>
    </row>
    <row r="79" customFormat="false" ht="15" hidden="false" customHeight="false" outlineLevel="0" collapsed="false">
      <c r="D79" s="68"/>
    </row>
    <row r="80" customFormat="false" ht="15" hidden="false" customHeight="false" outlineLevel="0" collapsed="false">
      <c r="D80" s="68"/>
    </row>
    <row r="81" customFormat="false" ht="15" hidden="false" customHeight="false" outlineLevel="0" collapsed="false">
      <c r="D81" s="68"/>
    </row>
    <row r="82" customFormat="false" ht="15" hidden="false" customHeight="false" outlineLevel="0" collapsed="false">
      <c r="D82" s="68"/>
    </row>
    <row r="83" customFormat="false" ht="15" hidden="false" customHeight="false" outlineLevel="0" collapsed="false">
      <c r="D83" s="68"/>
    </row>
    <row r="84" customFormat="false" ht="15" hidden="false" customHeight="false" outlineLevel="0" collapsed="false">
      <c r="D84" s="68"/>
    </row>
    <row r="85" customFormat="false" ht="15" hidden="false" customHeight="false" outlineLevel="0" collapsed="false">
      <c r="D85" s="68"/>
    </row>
    <row r="86" customFormat="false" ht="15" hidden="false" customHeight="false" outlineLevel="0" collapsed="false">
      <c r="D86" s="68"/>
    </row>
    <row r="87" customFormat="false" ht="15" hidden="false" customHeight="false" outlineLevel="0" collapsed="false">
      <c r="D87" s="68"/>
    </row>
    <row r="88" customFormat="false" ht="15" hidden="false" customHeight="false" outlineLevel="0" collapsed="false">
      <c r="D88" s="68"/>
    </row>
    <row r="89" customFormat="false" ht="15" hidden="false" customHeight="false" outlineLevel="0" collapsed="false">
      <c r="D89" s="68"/>
    </row>
    <row r="90" customFormat="false" ht="15" hidden="false" customHeight="false" outlineLevel="0" collapsed="false">
      <c r="D90" s="68"/>
    </row>
    <row r="91" customFormat="false" ht="15" hidden="false" customHeight="false" outlineLevel="0" collapsed="false">
      <c r="D91" s="68"/>
    </row>
    <row r="92" customFormat="false" ht="15" hidden="false" customHeight="false" outlineLevel="0" collapsed="false">
      <c r="D92" s="68"/>
    </row>
    <row r="93" customFormat="false" ht="15" hidden="false" customHeight="false" outlineLevel="0" collapsed="false">
      <c r="D93" s="68"/>
    </row>
    <row r="94" customFormat="false" ht="15" hidden="false" customHeight="false" outlineLevel="0" collapsed="false">
      <c r="D94" s="68"/>
    </row>
    <row r="95" customFormat="false" ht="15" hidden="false" customHeight="false" outlineLevel="0" collapsed="false">
      <c r="D95" s="68"/>
    </row>
    <row r="96" customFormat="false" ht="15" hidden="false" customHeight="false" outlineLevel="0" collapsed="false">
      <c r="D96" s="68"/>
    </row>
    <row r="97" customFormat="false" ht="15" hidden="false" customHeight="false" outlineLevel="0" collapsed="false">
      <c r="D97" s="68"/>
    </row>
    <row r="98" customFormat="false" ht="15" hidden="false" customHeight="false" outlineLevel="0" collapsed="false">
      <c r="D98" s="68"/>
    </row>
    <row r="99" customFormat="false" ht="15" hidden="false" customHeight="false" outlineLevel="0" collapsed="false">
      <c r="D99" s="68"/>
    </row>
    <row r="100" customFormat="false" ht="15" hidden="false" customHeight="false" outlineLevel="0" collapsed="false">
      <c r="D100" s="68"/>
    </row>
    <row r="101" customFormat="false" ht="15" hidden="false" customHeight="false" outlineLevel="0" collapsed="false">
      <c r="D101" s="68"/>
    </row>
    <row r="102" customFormat="false" ht="15" hidden="false" customHeight="false" outlineLevel="0" collapsed="false">
      <c r="D102" s="68"/>
    </row>
    <row r="103" customFormat="false" ht="15" hidden="false" customHeight="false" outlineLevel="0" collapsed="false">
      <c r="D103" s="68"/>
    </row>
    <row r="104" customFormat="false" ht="15" hidden="false" customHeight="false" outlineLevel="0" collapsed="false">
      <c r="D104" s="68"/>
    </row>
    <row r="105" customFormat="false" ht="15" hidden="false" customHeight="false" outlineLevel="0" collapsed="false">
      <c r="D105" s="68"/>
    </row>
    <row r="106" customFormat="false" ht="15" hidden="false" customHeight="false" outlineLevel="0" collapsed="false">
      <c r="D106" s="68"/>
    </row>
    <row r="107" customFormat="false" ht="15" hidden="false" customHeight="false" outlineLevel="0" collapsed="false">
      <c r="D107" s="68"/>
    </row>
    <row r="108" customFormat="false" ht="15" hidden="false" customHeight="false" outlineLevel="0" collapsed="false">
      <c r="D108" s="68"/>
    </row>
    <row r="109" customFormat="false" ht="15" hidden="false" customHeight="false" outlineLevel="0" collapsed="false">
      <c r="D109" s="68"/>
    </row>
    <row r="110" customFormat="false" ht="15" hidden="false" customHeight="false" outlineLevel="0" collapsed="false">
      <c r="D110" s="68"/>
    </row>
    <row r="111" customFormat="false" ht="15" hidden="false" customHeight="false" outlineLevel="0" collapsed="false">
      <c r="D111" s="68"/>
    </row>
    <row r="112" customFormat="false" ht="15" hidden="false" customHeight="false" outlineLevel="0" collapsed="false">
      <c r="D112" s="68"/>
    </row>
    <row r="113" customFormat="false" ht="15" hidden="false" customHeight="false" outlineLevel="0" collapsed="false">
      <c r="D113" s="68"/>
    </row>
    <row r="114" customFormat="false" ht="15" hidden="false" customHeight="false" outlineLevel="0" collapsed="false">
      <c r="D114" s="68"/>
    </row>
    <row r="115" customFormat="false" ht="15" hidden="false" customHeight="false" outlineLevel="0" collapsed="false">
      <c r="D115" s="68"/>
    </row>
    <row r="116" customFormat="false" ht="15" hidden="false" customHeight="false" outlineLevel="0" collapsed="false">
      <c r="D116" s="68"/>
    </row>
    <row r="117" customFormat="false" ht="15" hidden="false" customHeight="false" outlineLevel="0" collapsed="false">
      <c r="D117" s="68"/>
    </row>
    <row r="118" customFormat="false" ht="15" hidden="false" customHeight="false" outlineLevel="0" collapsed="false">
      <c r="D118" s="68"/>
    </row>
    <row r="119" customFormat="false" ht="15" hidden="false" customHeight="false" outlineLevel="0" collapsed="false">
      <c r="D119" s="68"/>
    </row>
    <row r="120" customFormat="false" ht="15" hidden="false" customHeight="false" outlineLevel="0" collapsed="false">
      <c r="D120" s="68"/>
    </row>
    <row r="121" customFormat="false" ht="15" hidden="false" customHeight="false" outlineLevel="0" collapsed="false">
      <c r="D121" s="68"/>
    </row>
    <row r="122" customFormat="false" ht="15" hidden="false" customHeight="false" outlineLevel="0" collapsed="false">
      <c r="D122" s="68"/>
    </row>
    <row r="123" customFormat="false" ht="15" hidden="false" customHeight="false" outlineLevel="0" collapsed="false">
      <c r="D123" s="68"/>
    </row>
    <row r="124" customFormat="false" ht="15" hidden="false" customHeight="false" outlineLevel="0" collapsed="false">
      <c r="D124" s="68"/>
    </row>
    <row r="125" customFormat="false" ht="15" hidden="false" customHeight="false" outlineLevel="0" collapsed="false">
      <c r="D125" s="68"/>
    </row>
    <row r="126" customFormat="false" ht="15" hidden="false" customHeight="false" outlineLevel="0" collapsed="false">
      <c r="D126" s="68"/>
    </row>
    <row r="127" customFormat="false" ht="15" hidden="false" customHeight="false" outlineLevel="0" collapsed="false">
      <c r="D127" s="68"/>
    </row>
    <row r="128" customFormat="false" ht="15" hidden="false" customHeight="false" outlineLevel="0" collapsed="false">
      <c r="D128" s="68"/>
    </row>
    <row r="129" customFormat="false" ht="15" hidden="false" customHeight="false" outlineLevel="0" collapsed="false">
      <c r="D129" s="68"/>
    </row>
    <row r="130" customFormat="false" ht="15" hidden="false" customHeight="false" outlineLevel="0" collapsed="false">
      <c r="D130" s="68"/>
    </row>
    <row r="131" customFormat="false" ht="15" hidden="false" customHeight="false" outlineLevel="0" collapsed="false">
      <c r="D131" s="68"/>
    </row>
    <row r="132" customFormat="false" ht="15" hidden="false" customHeight="false" outlineLevel="0" collapsed="false">
      <c r="D132" s="68"/>
    </row>
    <row r="133" customFormat="false" ht="15" hidden="false" customHeight="false" outlineLevel="0" collapsed="false">
      <c r="D133" s="68"/>
    </row>
    <row r="134" customFormat="false" ht="15" hidden="false" customHeight="false" outlineLevel="0" collapsed="false">
      <c r="D134" s="68"/>
    </row>
    <row r="135" customFormat="false" ht="15" hidden="false" customHeight="false" outlineLevel="0" collapsed="false">
      <c r="D135" s="68"/>
    </row>
    <row r="136" customFormat="false" ht="15" hidden="false" customHeight="false" outlineLevel="0" collapsed="false">
      <c r="D136" s="68"/>
    </row>
    <row r="137" customFormat="false" ht="15" hidden="false" customHeight="false" outlineLevel="0" collapsed="false">
      <c r="D137" s="68"/>
    </row>
    <row r="138" customFormat="false" ht="15" hidden="false" customHeight="false" outlineLevel="0" collapsed="false">
      <c r="D138" s="68"/>
    </row>
    <row r="139" customFormat="false" ht="15" hidden="false" customHeight="false" outlineLevel="0" collapsed="false">
      <c r="D139" s="68"/>
    </row>
    <row r="140" customFormat="false" ht="15" hidden="false" customHeight="false" outlineLevel="0" collapsed="false">
      <c r="D140" s="68"/>
    </row>
    <row r="141" customFormat="false" ht="15" hidden="false" customHeight="false" outlineLevel="0" collapsed="false">
      <c r="D141" s="68"/>
    </row>
    <row r="142" customFormat="false" ht="15" hidden="false" customHeight="false" outlineLevel="0" collapsed="false">
      <c r="D142" s="68"/>
    </row>
    <row r="143" customFormat="false" ht="15" hidden="false" customHeight="false" outlineLevel="0" collapsed="false">
      <c r="D143" s="68"/>
    </row>
    <row r="144" customFormat="false" ht="15" hidden="false" customHeight="false" outlineLevel="0" collapsed="false">
      <c r="D144" s="68"/>
    </row>
    <row r="145" customFormat="false" ht="15" hidden="false" customHeight="false" outlineLevel="0" collapsed="false">
      <c r="D145" s="68"/>
    </row>
    <row r="146" customFormat="false" ht="15" hidden="false" customHeight="false" outlineLevel="0" collapsed="false">
      <c r="D146" s="68"/>
    </row>
    <row r="147" customFormat="false" ht="15" hidden="false" customHeight="false" outlineLevel="0" collapsed="false">
      <c r="D147" s="68"/>
    </row>
    <row r="148" customFormat="false" ht="15" hidden="false" customHeight="false" outlineLevel="0" collapsed="false">
      <c r="D148" s="68"/>
    </row>
    <row r="149" customFormat="false" ht="15" hidden="false" customHeight="false" outlineLevel="0" collapsed="false">
      <c r="D149" s="68"/>
    </row>
    <row r="150" customFormat="false" ht="15" hidden="false" customHeight="false" outlineLevel="0" collapsed="false">
      <c r="D150" s="68"/>
    </row>
    <row r="151" customFormat="false" ht="15" hidden="false" customHeight="false" outlineLevel="0" collapsed="false">
      <c r="D151" s="68"/>
    </row>
    <row r="152" customFormat="false" ht="15" hidden="false" customHeight="false" outlineLevel="0" collapsed="false">
      <c r="D152" s="68"/>
    </row>
    <row r="153" customFormat="false" ht="15" hidden="false" customHeight="false" outlineLevel="0" collapsed="false">
      <c r="D153" s="68"/>
    </row>
    <row r="154" customFormat="false" ht="15" hidden="false" customHeight="false" outlineLevel="0" collapsed="false">
      <c r="D154" s="68"/>
    </row>
    <row r="155" customFormat="false" ht="15" hidden="false" customHeight="false" outlineLevel="0" collapsed="false">
      <c r="D155" s="68"/>
    </row>
    <row r="156" customFormat="false" ht="15" hidden="false" customHeight="false" outlineLevel="0" collapsed="false">
      <c r="D156" s="68"/>
    </row>
    <row r="157" customFormat="false" ht="15" hidden="false" customHeight="false" outlineLevel="0" collapsed="false">
      <c r="D157" s="68"/>
    </row>
    <row r="158" customFormat="false" ht="15" hidden="false" customHeight="false" outlineLevel="0" collapsed="false">
      <c r="D158" s="68"/>
    </row>
    <row r="159" customFormat="false" ht="15" hidden="false" customHeight="false" outlineLevel="0" collapsed="false">
      <c r="D159" s="68"/>
    </row>
    <row r="160" customFormat="false" ht="15" hidden="false" customHeight="false" outlineLevel="0" collapsed="false">
      <c r="D160" s="68"/>
    </row>
    <row r="161" customFormat="false" ht="15" hidden="false" customHeight="false" outlineLevel="0" collapsed="false">
      <c r="D161" s="68"/>
    </row>
    <row r="162" customFormat="false" ht="15" hidden="false" customHeight="false" outlineLevel="0" collapsed="false">
      <c r="D162" s="68"/>
    </row>
    <row r="163" customFormat="false" ht="15" hidden="false" customHeight="false" outlineLevel="0" collapsed="false">
      <c r="D163" s="68"/>
    </row>
    <row r="164" customFormat="false" ht="15" hidden="false" customHeight="false" outlineLevel="0" collapsed="false">
      <c r="D164" s="68"/>
    </row>
    <row r="165" customFormat="false" ht="15" hidden="false" customHeight="false" outlineLevel="0" collapsed="false">
      <c r="D165" s="68"/>
    </row>
    <row r="166" customFormat="false" ht="15" hidden="false" customHeight="false" outlineLevel="0" collapsed="false">
      <c r="D166" s="68"/>
    </row>
    <row r="167" customFormat="false" ht="15" hidden="false" customHeight="false" outlineLevel="0" collapsed="false">
      <c r="D167" s="68"/>
    </row>
    <row r="168" customFormat="false" ht="15" hidden="false" customHeight="false" outlineLevel="0" collapsed="false">
      <c r="D168" s="68"/>
    </row>
    <row r="169" customFormat="false" ht="15" hidden="false" customHeight="false" outlineLevel="0" collapsed="false">
      <c r="D169" s="68"/>
    </row>
    <row r="170" customFormat="false" ht="15" hidden="false" customHeight="false" outlineLevel="0" collapsed="false">
      <c r="D170" s="68"/>
    </row>
    <row r="171" customFormat="false" ht="15" hidden="false" customHeight="false" outlineLevel="0" collapsed="false">
      <c r="D171" s="68"/>
    </row>
    <row r="172" customFormat="false" ht="15" hidden="false" customHeight="false" outlineLevel="0" collapsed="false">
      <c r="D172" s="68"/>
    </row>
    <row r="173" customFormat="false" ht="15" hidden="false" customHeight="false" outlineLevel="0" collapsed="false">
      <c r="D173" s="68"/>
    </row>
    <row r="174" customFormat="false" ht="15" hidden="false" customHeight="false" outlineLevel="0" collapsed="false">
      <c r="D174" s="68"/>
    </row>
    <row r="175" customFormat="false" ht="15" hidden="false" customHeight="false" outlineLevel="0" collapsed="false">
      <c r="D175" s="68"/>
    </row>
    <row r="176" customFormat="false" ht="15" hidden="false" customHeight="false" outlineLevel="0" collapsed="false">
      <c r="D176" s="68"/>
    </row>
    <row r="177" customFormat="false" ht="15" hidden="false" customHeight="false" outlineLevel="0" collapsed="false">
      <c r="D177" s="68"/>
    </row>
    <row r="178" customFormat="false" ht="15" hidden="false" customHeight="false" outlineLevel="0" collapsed="false">
      <c r="D178" s="68"/>
    </row>
    <row r="179" customFormat="false" ht="15" hidden="false" customHeight="false" outlineLevel="0" collapsed="false">
      <c r="D179" s="68"/>
    </row>
    <row r="180" customFormat="false" ht="15" hidden="false" customHeight="false" outlineLevel="0" collapsed="false">
      <c r="D180" s="68"/>
    </row>
    <row r="181" customFormat="false" ht="15" hidden="false" customHeight="false" outlineLevel="0" collapsed="false">
      <c r="D181" s="68"/>
    </row>
    <row r="182" customFormat="false" ht="15" hidden="false" customHeight="false" outlineLevel="0" collapsed="false">
      <c r="D182" s="68"/>
    </row>
    <row r="183" customFormat="false" ht="15" hidden="false" customHeight="false" outlineLevel="0" collapsed="false">
      <c r="D183" s="68"/>
    </row>
    <row r="184" customFormat="false" ht="15" hidden="false" customHeight="false" outlineLevel="0" collapsed="false">
      <c r="D184" s="68"/>
    </row>
    <row r="185" customFormat="false" ht="15" hidden="false" customHeight="false" outlineLevel="0" collapsed="false">
      <c r="D185" s="68"/>
    </row>
    <row r="186" customFormat="false" ht="15" hidden="false" customHeight="false" outlineLevel="0" collapsed="false">
      <c r="D186" s="68"/>
    </row>
    <row r="187" customFormat="false" ht="15" hidden="false" customHeight="false" outlineLevel="0" collapsed="false">
      <c r="D187" s="68"/>
    </row>
    <row r="188" customFormat="false" ht="15" hidden="false" customHeight="false" outlineLevel="0" collapsed="false">
      <c r="D188" s="68"/>
    </row>
    <row r="189" customFormat="false" ht="15" hidden="false" customHeight="false" outlineLevel="0" collapsed="false">
      <c r="D189" s="68"/>
    </row>
    <row r="190" customFormat="false" ht="15" hidden="false" customHeight="false" outlineLevel="0" collapsed="false">
      <c r="D190" s="68"/>
    </row>
    <row r="191" customFormat="false" ht="15" hidden="false" customHeight="false" outlineLevel="0" collapsed="false">
      <c r="D191" s="68"/>
    </row>
    <row r="192" customFormat="false" ht="15" hidden="false" customHeight="false" outlineLevel="0" collapsed="false">
      <c r="D192" s="68"/>
    </row>
    <row r="193" customFormat="false" ht="15" hidden="false" customHeight="false" outlineLevel="0" collapsed="false">
      <c r="D193" s="68"/>
    </row>
    <row r="194" customFormat="false" ht="15" hidden="false" customHeight="false" outlineLevel="0" collapsed="false">
      <c r="D194" s="68"/>
    </row>
    <row r="195" customFormat="false" ht="15" hidden="false" customHeight="false" outlineLevel="0" collapsed="false">
      <c r="D195" s="68"/>
    </row>
    <row r="196" customFormat="false" ht="15" hidden="false" customHeight="false" outlineLevel="0" collapsed="false">
      <c r="D196" s="68"/>
    </row>
    <row r="197" customFormat="false" ht="15" hidden="false" customHeight="false" outlineLevel="0" collapsed="false">
      <c r="D197" s="68"/>
    </row>
    <row r="198" customFormat="false" ht="15" hidden="false" customHeight="false" outlineLevel="0" collapsed="false">
      <c r="D198" s="68"/>
    </row>
    <row r="199" customFormat="false" ht="15" hidden="false" customHeight="false" outlineLevel="0" collapsed="false">
      <c r="D199" s="68"/>
    </row>
    <row r="200" customFormat="false" ht="15" hidden="false" customHeight="false" outlineLevel="0" collapsed="false">
      <c r="D200" s="68"/>
    </row>
    <row r="201" customFormat="false" ht="15" hidden="false" customHeight="false" outlineLevel="0" collapsed="false">
      <c r="D201" s="68"/>
    </row>
    <row r="202" customFormat="false" ht="15" hidden="false" customHeight="false" outlineLevel="0" collapsed="false">
      <c r="D202" s="68"/>
    </row>
    <row r="203" customFormat="false" ht="15" hidden="false" customHeight="false" outlineLevel="0" collapsed="false">
      <c r="D203" s="68"/>
    </row>
    <row r="204" customFormat="false" ht="15" hidden="false" customHeight="false" outlineLevel="0" collapsed="false">
      <c r="D204" s="68"/>
    </row>
    <row r="205" customFormat="false" ht="15" hidden="false" customHeight="false" outlineLevel="0" collapsed="false">
      <c r="D205" s="68"/>
    </row>
    <row r="206" customFormat="false" ht="15" hidden="false" customHeight="false" outlineLevel="0" collapsed="false">
      <c r="D206" s="68"/>
    </row>
    <row r="207" customFormat="false" ht="15" hidden="false" customHeight="false" outlineLevel="0" collapsed="false">
      <c r="D207" s="68"/>
    </row>
    <row r="208" customFormat="false" ht="15" hidden="false" customHeight="false" outlineLevel="0" collapsed="false">
      <c r="D208" s="68"/>
    </row>
    <row r="209" customFormat="false" ht="15" hidden="false" customHeight="false" outlineLevel="0" collapsed="false">
      <c r="D209" s="68"/>
    </row>
    <row r="210" customFormat="false" ht="15" hidden="false" customHeight="false" outlineLevel="0" collapsed="false">
      <c r="D210" s="68"/>
    </row>
    <row r="211" customFormat="false" ht="15" hidden="false" customHeight="false" outlineLevel="0" collapsed="false">
      <c r="D211" s="68"/>
    </row>
    <row r="212" customFormat="false" ht="15" hidden="false" customHeight="false" outlineLevel="0" collapsed="false">
      <c r="D212" s="68"/>
    </row>
    <row r="213" customFormat="false" ht="15" hidden="false" customHeight="false" outlineLevel="0" collapsed="false">
      <c r="D213" s="68"/>
    </row>
    <row r="214" customFormat="false" ht="15" hidden="false" customHeight="false" outlineLevel="0" collapsed="false">
      <c r="D214" s="68"/>
    </row>
    <row r="215" customFormat="false" ht="15" hidden="false" customHeight="false" outlineLevel="0" collapsed="false">
      <c r="D215" s="68"/>
    </row>
    <row r="216" customFormat="false" ht="15" hidden="false" customHeight="false" outlineLevel="0" collapsed="false">
      <c r="D216" s="68"/>
    </row>
    <row r="217" customFormat="false" ht="15" hidden="false" customHeight="false" outlineLevel="0" collapsed="false">
      <c r="D217" s="68"/>
    </row>
    <row r="218" customFormat="false" ht="15" hidden="false" customHeight="false" outlineLevel="0" collapsed="false">
      <c r="D218" s="68"/>
    </row>
    <row r="219" customFormat="false" ht="15" hidden="false" customHeight="false" outlineLevel="0" collapsed="false">
      <c r="D219" s="68"/>
    </row>
    <row r="220" customFormat="false" ht="15" hidden="false" customHeight="false" outlineLevel="0" collapsed="false">
      <c r="D220" s="68"/>
    </row>
    <row r="221" customFormat="false" ht="15" hidden="false" customHeight="false" outlineLevel="0" collapsed="false">
      <c r="D221" s="68"/>
    </row>
    <row r="222" customFormat="false" ht="15" hidden="false" customHeight="false" outlineLevel="0" collapsed="false">
      <c r="D222" s="68"/>
    </row>
    <row r="223" customFormat="false" ht="15" hidden="false" customHeight="false" outlineLevel="0" collapsed="false">
      <c r="D223" s="68"/>
    </row>
    <row r="224" customFormat="false" ht="15" hidden="false" customHeight="false" outlineLevel="0" collapsed="false">
      <c r="D224" s="68"/>
    </row>
    <row r="225" customFormat="false" ht="15" hidden="false" customHeight="false" outlineLevel="0" collapsed="false">
      <c r="D225" s="68"/>
    </row>
    <row r="226" customFormat="false" ht="15" hidden="false" customHeight="false" outlineLevel="0" collapsed="false">
      <c r="D226" s="68"/>
    </row>
    <row r="227" customFormat="false" ht="15" hidden="false" customHeight="false" outlineLevel="0" collapsed="false">
      <c r="D227" s="68"/>
    </row>
    <row r="228" customFormat="false" ht="15" hidden="false" customHeight="false" outlineLevel="0" collapsed="false">
      <c r="D228" s="68"/>
    </row>
    <row r="229" customFormat="false" ht="15" hidden="false" customHeight="false" outlineLevel="0" collapsed="false">
      <c r="D229" s="68"/>
    </row>
    <row r="230" customFormat="false" ht="15" hidden="false" customHeight="false" outlineLevel="0" collapsed="false">
      <c r="D230" s="68"/>
    </row>
    <row r="231" customFormat="false" ht="15" hidden="false" customHeight="false" outlineLevel="0" collapsed="false">
      <c r="D231" s="68"/>
    </row>
    <row r="232" customFormat="false" ht="15" hidden="false" customHeight="false" outlineLevel="0" collapsed="false">
      <c r="D232" s="68"/>
    </row>
    <row r="233" customFormat="false" ht="15" hidden="false" customHeight="false" outlineLevel="0" collapsed="false">
      <c r="D233" s="68"/>
    </row>
    <row r="234" customFormat="false" ht="15" hidden="false" customHeight="false" outlineLevel="0" collapsed="false">
      <c r="D234" s="68"/>
    </row>
    <row r="235" customFormat="false" ht="15" hidden="false" customHeight="false" outlineLevel="0" collapsed="false">
      <c r="D235" s="68"/>
    </row>
    <row r="236" customFormat="false" ht="15" hidden="false" customHeight="false" outlineLevel="0" collapsed="false">
      <c r="D236" s="68"/>
    </row>
    <row r="237" customFormat="false" ht="15" hidden="false" customHeight="false" outlineLevel="0" collapsed="false">
      <c r="D237" s="68"/>
    </row>
    <row r="238" customFormat="false" ht="15" hidden="false" customHeight="false" outlineLevel="0" collapsed="false">
      <c r="D238" s="68"/>
    </row>
    <row r="239" customFormat="false" ht="15" hidden="false" customHeight="false" outlineLevel="0" collapsed="false">
      <c r="D239" s="68"/>
    </row>
    <row r="240" customFormat="false" ht="15" hidden="false" customHeight="false" outlineLevel="0" collapsed="false">
      <c r="D240" s="68"/>
    </row>
    <row r="241" customFormat="false" ht="15" hidden="false" customHeight="false" outlineLevel="0" collapsed="false">
      <c r="D241" s="68"/>
    </row>
    <row r="242" customFormat="false" ht="15" hidden="false" customHeight="false" outlineLevel="0" collapsed="false">
      <c r="D242" s="68"/>
    </row>
    <row r="243" customFormat="false" ht="15" hidden="false" customHeight="false" outlineLevel="0" collapsed="false">
      <c r="D243" s="68"/>
    </row>
    <row r="244" customFormat="false" ht="15" hidden="false" customHeight="false" outlineLevel="0" collapsed="false">
      <c r="D244" s="68"/>
    </row>
    <row r="245" customFormat="false" ht="15" hidden="false" customHeight="false" outlineLevel="0" collapsed="false">
      <c r="D245" s="68"/>
    </row>
    <row r="246" customFormat="false" ht="15" hidden="false" customHeight="false" outlineLevel="0" collapsed="false">
      <c r="D246" s="68"/>
    </row>
    <row r="247" customFormat="false" ht="15" hidden="false" customHeight="false" outlineLevel="0" collapsed="false">
      <c r="D247" s="68"/>
    </row>
    <row r="248" customFormat="false" ht="15" hidden="false" customHeight="false" outlineLevel="0" collapsed="false">
      <c r="D248" s="68"/>
    </row>
    <row r="249" customFormat="false" ht="15" hidden="false" customHeight="false" outlineLevel="0" collapsed="false">
      <c r="D249" s="68"/>
    </row>
    <row r="250" customFormat="false" ht="15" hidden="false" customHeight="false" outlineLevel="0" collapsed="false">
      <c r="D250" s="68"/>
    </row>
    <row r="251" customFormat="false" ht="15" hidden="false" customHeight="false" outlineLevel="0" collapsed="false">
      <c r="D251" s="68"/>
    </row>
    <row r="252" customFormat="false" ht="15" hidden="false" customHeight="false" outlineLevel="0" collapsed="false">
      <c r="D252" s="68"/>
    </row>
    <row r="253" customFormat="false" ht="15" hidden="false" customHeight="false" outlineLevel="0" collapsed="false">
      <c r="D253" s="68"/>
    </row>
    <row r="254" customFormat="false" ht="15" hidden="false" customHeight="false" outlineLevel="0" collapsed="false">
      <c r="D254" s="68"/>
    </row>
    <row r="255" customFormat="false" ht="15" hidden="false" customHeight="false" outlineLevel="0" collapsed="false">
      <c r="D255" s="68"/>
    </row>
    <row r="256" customFormat="false" ht="15" hidden="false" customHeight="false" outlineLevel="0" collapsed="false">
      <c r="D256" s="68"/>
    </row>
    <row r="257" customFormat="false" ht="15" hidden="false" customHeight="false" outlineLevel="0" collapsed="false">
      <c r="D257" s="68"/>
    </row>
    <row r="258" customFormat="false" ht="15" hidden="false" customHeight="false" outlineLevel="0" collapsed="false">
      <c r="D258" s="68"/>
    </row>
    <row r="259" customFormat="false" ht="15" hidden="false" customHeight="false" outlineLevel="0" collapsed="false">
      <c r="D259" s="68"/>
    </row>
    <row r="260" customFormat="false" ht="15" hidden="false" customHeight="false" outlineLevel="0" collapsed="false">
      <c r="D260" s="68"/>
    </row>
    <row r="261" customFormat="false" ht="15" hidden="false" customHeight="false" outlineLevel="0" collapsed="false">
      <c r="D261" s="68"/>
    </row>
    <row r="262" customFormat="false" ht="15" hidden="false" customHeight="false" outlineLevel="0" collapsed="false">
      <c r="D262" s="68"/>
    </row>
    <row r="263" customFormat="false" ht="15" hidden="false" customHeight="false" outlineLevel="0" collapsed="false">
      <c r="D263" s="68"/>
    </row>
    <row r="264" customFormat="false" ht="15" hidden="false" customHeight="false" outlineLevel="0" collapsed="false">
      <c r="D264" s="68"/>
    </row>
    <row r="265" customFormat="false" ht="15" hidden="false" customHeight="false" outlineLevel="0" collapsed="false">
      <c r="D265" s="68"/>
    </row>
    <row r="266" customFormat="false" ht="15" hidden="false" customHeight="false" outlineLevel="0" collapsed="false">
      <c r="D266" s="68"/>
    </row>
    <row r="267" customFormat="false" ht="15" hidden="false" customHeight="false" outlineLevel="0" collapsed="false">
      <c r="D267" s="68"/>
    </row>
    <row r="268" customFormat="false" ht="15" hidden="false" customHeight="false" outlineLevel="0" collapsed="false">
      <c r="D268" s="68"/>
    </row>
    <row r="269" customFormat="false" ht="15" hidden="false" customHeight="false" outlineLevel="0" collapsed="false">
      <c r="D269" s="68"/>
    </row>
    <row r="270" customFormat="false" ht="15" hidden="false" customHeight="false" outlineLevel="0" collapsed="false">
      <c r="D270" s="68"/>
    </row>
    <row r="271" customFormat="false" ht="15" hidden="false" customHeight="false" outlineLevel="0" collapsed="false">
      <c r="D271" s="68"/>
    </row>
    <row r="272" customFormat="false" ht="15" hidden="false" customHeight="false" outlineLevel="0" collapsed="false">
      <c r="D272" s="68"/>
    </row>
    <row r="273" customFormat="false" ht="15" hidden="false" customHeight="false" outlineLevel="0" collapsed="false">
      <c r="D273" s="68"/>
    </row>
    <row r="274" customFormat="false" ht="15" hidden="false" customHeight="false" outlineLevel="0" collapsed="false">
      <c r="D274" s="68"/>
    </row>
    <row r="275" customFormat="false" ht="15" hidden="false" customHeight="false" outlineLevel="0" collapsed="false">
      <c r="D275" s="68"/>
    </row>
    <row r="276" customFormat="false" ht="15" hidden="false" customHeight="false" outlineLevel="0" collapsed="false">
      <c r="D276" s="68"/>
    </row>
    <row r="277" customFormat="false" ht="15" hidden="false" customHeight="false" outlineLevel="0" collapsed="false">
      <c r="D277" s="68"/>
    </row>
    <row r="278" customFormat="false" ht="15" hidden="false" customHeight="false" outlineLevel="0" collapsed="false">
      <c r="D278" s="68"/>
    </row>
    <row r="279" customFormat="false" ht="15" hidden="false" customHeight="false" outlineLevel="0" collapsed="false">
      <c r="D279" s="68"/>
    </row>
    <row r="280" customFormat="false" ht="15" hidden="false" customHeight="false" outlineLevel="0" collapsed="false">
      <c r="D280" s="68"/>
    </row>
    <row r="281" customFormat="false" ht="15" hidden="false" customHeight="false" outlineLevel="0" collapsed="false">
      <c r="D281" s="68"/>
    </row>
    <row r="282" customFormat="false" ht="15" hidden="false" customHeight="false" outlineLevel="0" collapsed="false">
      <c r="D282" s="68"/>
    </row>
    <row r="283" customFormat="false" ht="15" hidden="false" customHeight="false" outlineLevel="0" collapsed="false">
      <c r="D283" s="68"/>
    </row>
    <row r="284" customFormat="false" ht="15" hidden="false" customHeight="false" outlineLevel="0" collapsed="false">
      <c r="D284" s="68"/>
    </row>
    <row r="285" customFormat="false" ht="15" hidden="false" customHeight="false" outlineLevel="0" collapsed="false">
      <c r="D285" s="68"/>
    </row>
    <row r="286" customFormat="false" ht="15" hidden="false" customHeight="false" outlineLevel="0" collapsed="false">
      <c r="D286" s="68"/>
    </row>
    <row r="287" customFormat="false" ht="15" hidden="false" customHeight="false" outlineLevel="0" collapsed="false">
      <c r="D287" s="68"/>
    </row>
    <row r="288" customFormat="false" ht="15" hidden="false" customHeight="false" outlineLevel="0" collapsed="false">
      <c r="D288" s="68"/>
    </row>
    <row r="289" customFormat="false" ht="15" hidden="false" customHeight="false" outlineLevel="0" collapsed="false">
      <c r="D289" s="68"/>
    </row>
    <row r="290" customFormat="false" ht="15" hidden="false" customHeight="false" outlineLevel="0" collapsed="false">
      <c r="D290" s="68"/>
    </row>
    <row r="291" customFormat="false" ht="15" hidden="false" customHeight="false" outlineLevel="0" collapsed="false">
      <c r="D291" s="68"/>
    </row>
    <row r="292" customFormat="false" ht="15" hidden="false" customHeight="false" outlineLevel="0" collapsed="false">
      <c r="D292" s="68"/>
    </row>
    <row r="293" customFormat="false" ht="15" hidden="false" customHeight="false" outlineLevel="0" collapsed="false">
      <c r="D293" s="68"/>
    </row>
    <row r="294" customFormat="false" ht="15" hidden="false" customHeight="false" outlineLevel="0" collapsed="false">
      <c r="D294" s="68"/>
    </row>
    <row r="295" customFormat="false" ht="15" hidden="false" customHeight="false" outlineLevel="0" collapsed="false">
      <c r="D295" s="68"/>
    </row>
    <row r="296" customFormat="false" ht="15" hidden="false" customHeight="false" outlineLevel="0" collapsed="false">
      <c r="D296" s="68"/>
    </row>
    <row r="297" customFormat="false" ht="15" hidden="false" customHeight="false" outlineLevel="0" collapsed="false">
      <c r="D297" s="68"/>
    </row>
    <row r="298" customFormat="false" ht="15" hidden="false" customHeight="false" outlineLevel="0" collapsed="false">
      <c r="D298" s="68"/>
    </row>
    <row r="299" customFormat="false" ht="15" hidden="false" customHeight="false" outlineLevel="0" collapsed="false">
      <c r="D299" s="68"/>
    </row>
    <row r="300" customFormat="false" ht="15" hidden="false" customHeight="false" outlineLevel="0" collapsed="false">
      <c r="D300" s="68"/>
    </row>
    <row r="301" customFormat="false" ht="15" hidden="false" customHeight="false" outlineLevel="0" collapsed="false">
      <c r="D301" s="68"/>
    </row>
    <row r="302" customFormat="false" ht="15" hidden="false" customHeight="false" outlineLevel="0" collapsed="false">
      <c r="D302" s="68"/>
    </row>
    <row r="303" customFormat="false" ht="15" hidden="false" customHeight="false" outlineLevel="0" collapsed="false">
      <c r="D303" s="68"/>
    </row>
    <row r="304" customFormat="false" ht="15" hidden="false" customHeight="false" outlineLevel="0" collapsed="false">
      <c r="D304" s="68"/>
    </row>
    <row r="305" customFormat="false" ht="15" hidden="false" customHeight="false" outlineLevel="0" collapsed="false">
      <c r="D305" s="68"/>
    </row>
    <row r="306" customFormat="false" ht="15" hidden="false" customHeight="false" outlineLevel="0" collapsed="false">
      <c r="D306" s="68"/>
    </row>
    <row r="307" customFormat="false" ht="15" hidden="false" customHeight="false" outlineLevel="0" collapsed="false">
      <c r="D307" s="68"/>
    </row>
    <row r="308" customFormat="false" ht="15" hidden="false" customHeight="false" outlineLevel="0" collapsed="false">
      <c r="D308" s="68"/>
    </row>
    <row r="309" customFormat="false" ht="15" hidden="false" customHeight="false" outlineLevel="0" collapsed="false">
      <c r="D309" s="68"/>
    </row>
    <row r="310" customFormat="false" ht="15" hidden="false" customHeight="false" outlineLevel="0" collapsed="false">
      <c r="D310" s="68"/>
    </row>
    <row r="311" customFormat="false" ht="15" hidden="false" customHeight="false" outlineLevel="0" collapsed="false">
      <c r="D311" s="68"/>
    </row>
    <row r="312" customFormat="false" ht="15" hidden="false" customHeight="false" outlineLevel="0" collapsed="false">
      <c r="D312" s="68"/>
    </row>
    <row r="313" customFormat="false" ht="15" hidden="false" customHeight="false" outlineLevel="0" collapsed="false">
      <c r="D313" s="68"/>
    </row>
    <row r="314" customFormat="false" ht="15" hidden="false" customHeight="false" outlineLevel="0" collapsed="false">
      <c r="D314" s="68"/>
    </row>
    <row r="315" customFormat="false" ht="15" hidden="false" customHeight="false" outlineLevel="0" collapsed="false">
      <c r="D315" s="68"/>
    </row>
    <row r="316" customFormat="false" ht="15" hidden="false" customHeight="false" outlineLevel="0" collapsed="false">
      <c r="D316" s="68"/>
    </row>
    <row r="317" customFormat="false" ht="15" hidden="false" customHeight="false" outlineLevel="0" collapsed="false">
      <c r="D317" s="68"/>
    </row>
    <row r="318" customFormat="false" ht="15" hidden="false" customHeight="false" outlineLevel="0" collapsed="false">
      <c r="D318" s="68"/>
    </row>
    <row r="319" customFormat="false" ht="15" hidden="false" customHeight="false" outlineLevel="0" collapsed="false">
      <c r="D319" s="68"/>
    </row>
    <row r="320" customFormat="false" ht="15" hidden="false" customHeight="false" outlineLevel="0" collapsed="false">
      <c r="D320" s="68"/>
    </row>
    <row r="321" customFormat="false" ht="15" hidden="false" customHeight="false" outlineLevel="0" collapsed="false">
      <c r="D321" s="68"/>
    </row>
    <row r="322" customFormat="false" ht="15" hidden="false" customHeight="false" outlineLevel="0" collapsed="false">
      <c r="D322" s="68"/>
    </row>
    <row r="323" customFormat="false" ht="15" hidden="false" customHeight="false" outlineLevel="0" collapsed="false">
      <c r="D323" s="68"/>
    </row>
    <row r="324" customFormat="false" ht="15" hidden="false" customHeight="false" outlineLevel="0" collapsed="false">
      <c r="D324" s="68"/>
    </row>
    <row r="325" customFormat="false" ht="15" hidden="false" customHeight="false" outlineLevel="0" collapsed="false">
      <c r="D325" s="68"/>
    </row>
    <row r="326" customFormat="false" ht="15" hidden="false" customHeight="false" outlineLevel="0" collapsed="false">
      <c r="D326" s="68"/>
    </row>
    <row r="327" customFormat="false" ht="15" hidden="false" customHeight="false" outlineLevel="0" collapsed="false">
      <c r="D327" s="68"/>
    </row>
    <row r="328" customFormat="false" ht="15" hidden="false" customHeight="false" outlineLevel="0" collapsed="false">
      <c r="D328" s="68"/>
    </row>
    <row r="329" customFormat="false" ht="15" hidden="false" customHeight="false" outlineLevel="0" collapsed="false">
      <c r="D329" s="68"/>
    </row>
    <row r="330" customFormat="false" ht="15" hidden="false" customHeight="false" outlineLevel="0" collapsed="false">
      <c r="D330" s="68"/>
    </row>
    <row r="331" customFormat="false" ht="15" hidden="false" customHeight="false" outlineLevel="0" collapsed="false">
      <c r="D331" s="68"/>
    </row>
    <row r="332" customFormat="false" ht="15" hidden="false" customHeight="false" outlineLevel="0" collapsed="false">
      <c r="D332" s="68"/>
    </row>
    <row r="333" customFormat="false" ht="15" hidden="false" customHeight="false" outlineLevel="0" collapsed="false">
      <c r="D333" s="68"/>
    </row>
    <row r="334" customFormat="false" ht="15" hidden="false" customHeight="false" outlineLevel="0" collapsed="false">
      <c r="D334" s="68"/>
    </row>
    <row r="335" customFormat="false" ht="15" hidden="false" customHeight="false" outlineLevel="0" collapsed="false">
      <c r="D335" s="68"/>
    </row>
    <row r="336" customFormat="false" ht="15" hidden="false" customHeight="false" outlineLevel="0" collapsed="false">
      <c r="D336" s="68"/>
    </row>
    <row r="337" customFormat="false" ht="15" hidden="false" customHeight="false" outlineLevel="0" collapsed="false">
      <c r="D337" s="68"/>
    </row>
    <row r="338" customFormat="false" ht="15" hidden="false" customHeight="false" outlineLevel="0" collapsed="false">
      <c r="D338" s="68"/>
    </row>
    <row r="339" customFormat="false" ht="15" hidden="false" customHeight="false" outlineLevel="0" collapsed="false">
      <c r="D339" s="68"/>
    </row>
    <row r="340" customFormat="false" ht="15" hidden="false" customHeight="false" outlineLevel="0" collapsed="false">
      <c r="D340" s="68"/>
    </row>
    <row r="341" customFormat="false" ht="15" hidden="false" customHeight="false" outlineLevel="0" collapsed="false">
      <c r="D341" s="68"/>
    </row>
    <row r="342" customFormat="false" ht="15" hidden="false" customHeight="false" outlineLevel="0" collapsed="false">
      <c r="D342" s="68"/>
    </row>
    <row r="343" customFormat="false" ht="15" hidden="false" customHeight="false" outlineLevel="0" collapsed="false">
      <c r="D343" s="68"/>
    </row>
    <row r="344" customFormat="false" ht="15" hidden="false" customHeight="false" outlineLevel="0" collapsed="false">
      <c r="D344" s="68"/>
    </row>
    <row r="345" customFormat="false" ht="15" hidden="false" customHeight="false" outlineLevel="0" collapsed="false">
      <c r="D345" s="68"/>
    </row>
    <row r="346" customFormat="false" ht="15" hidden="false" customHeight="false" outlineLevel="0" collapsed="false">
      <c r="D346" s="68"/>
    </row>
    <row r="347" customFormat="false" ht="15" hidden="false" customHeight="false" outlineLevel="0" collapsed="false">
      <c r="D347" s="68"/>
    </row>
    <row r="348" customFormat="false" ht="15" hidden="false" customHeight="false" outlineLevel="0" collapsed="false">
      <c r="D348" s="68"/>
    </row>
    <row r="349" customFormat="false" ht="15" hidden="false" customHeight="false" outlineLevel="0" collapsed="false">
      <c r="D349" s="68"/>
    </row>
    <row r="350" customFormat="false" ht="15" hidden="false" customHeight="false" outlineLevel="0" collapsed="false">
      <c r="D350" s="68"/>
    </row>
    <row r="351" customFormat="false" ht="15" hidden="false" customHeight="false" outlineLevel="0" collapsed="false">
      <c r="D351" s="68"/>
    </row>
    <row r="352" customFormat="false" ht="15" hidden="false" customHeight="false" outlineLevel="0" collapsed="false">
      <c r="D352" s="68"/>
    </row>
    <row r="353" customFormat="false" ht="15" hidden="false" customHeight="false" outlineLevel="0" collapsed="false">
      <c r="D353" s="68"/>
    </row>
    <row r="354" customFormat="false" ht="15" hidden="false" customHeight="false" outlineLevel="0" collapsed="false">
      <c r="D354" s="68"/>
    </row>
    <row r="355" customFormat="false" ht="15" hidden="false" customHeight="false" outlineLevel="0" collapsed="false">
      <c r="D355" s="68"/>
    </row>
    <row r="356" customFormat="false" ht="15" hidden="false" customHeight="false" outlineLevel="0" collapsed="false">
      <c r="D356" s="68"/>
    </row>
    <row r="357" customFormat="false" ht="15" hidden="false" customHeight="false" outlineLevel="0" collapsed="false">
      <c r="D357" s="68"/>
    </row>
    <row r="358" customFormat="false" ht="15" hidden="false" customHeight="false" outlineLevel="0" collapsed="false">
      <c r="D358" s="68"/>
    </row>
    <row r="359" customFormat="false" ht="15" hidden="false" customHeight="false" outlineLevel="0" collapsed="false">
      <c r="D359" s="68"/>
    </row>
    <row r="360" customFormat="false" ht="15" hidden="false" customHeight="false" outlineLevel="0" collapsed="false">
      <c r="D360" s="68"/>
    </row>
    <row r="361" customFormat="false" ht="15" hidden="false" customHeight="false" outlineLevel="0" collapsed="false">
      <c r="D361" s="68"/>
    </row>
    <row r="362" customFormat="false" ht="15" hidden="false" customHeight="false" outlineLevel="0" collapsed="false">
      <c r="D362" s="68"/>
    </row>
    <row r="363" customFormat="false" ht="15" hidden="false" customHeight="false" outlineLevel="0" collapsed="false">
      <c r="D363" s="68"/>
    </row>
    <row r="364" customFormat="false" ht="15" hidden="false" customHeight="false" outlineLevel="0" collapsed="false">
      <c r="D364" s="68"/>
    </row>
    <row r="365" customFormat="false" ht="15" hidden="false" customHeight="false" outlineLevel="0" collapsed="false">
      <c r="D365" s="68"/>
    </row>
    <row r="366" customFormat="false" ht="15" hidden="false" customHeight="false" outlineLevel="0" collapsed="false">
      <c r="D366" s="68"/>
    </row>
    <row r="367" customFormat="false" ht="15" hidden="false" customHeight="false" outlineLevel="0" collapsed="false">
      <c r="D367" s="68"/>
    </row>
    <row r="368" customFormat="false" ht="15" hidden="false" customHeight="false" outlineLevel="0" collapsed="false">
      <c r="D368" s="68"/>
    </row>
    <row r="369" customFormat="false" ht="15" hidden="false" customHeight="false" outlineLevel="0" collapsed="false">
      <c r="D369" s="68"/>
    </row>
    <row r="370" customFormat="false" ht="15" hidden="false" customHeight="false" outlineLevel="0" collapsed="false">
      <c r="D370" s="68"/>
    </row>
    <row r="371" customFormat="false" ht="15" hidden="false" customHeight="false" outlineLevel="0" collapsed="false">
      <c r="D371" s="68"/>
    </row>
    <row r="372" customFormat="false" ht="15" hidden="false" customHeight="false" outlineLevel="0" collapsed="false">
      <c r="D372" s="68"/>
    </row>
    <row r="373" customFormat="false" ht="15" hidden="false" customHeight="false" outlineLevel="0" collapsed="false">
      <c r="D373" s="68"/>
    </row>
    <row r="374" customFormat="false" ht="15" hidden="false" customHeight="false" outlineLevel="0" collapsed="false">
      <c r="D374" s="68"/>
    </row>
    <row r="375" customFormat="false" ht="15" hidden="false" customHeight="false" outlineLevel="0" collapsed="false">
      <c r="D375" s="68"/>
    </row>
    <row r="376" customFormat="false" ht="15" hidden="false" customHeight="false" outlineLevel="0" collapsed="false">
      <c r="D376" s="68"/>
    </row>
    <row r="377" customFormat="false" ht="15" hidden="false" customHeight="false" outlineLevel="0" collapsed="false">
      <c r="D377" s="68"/>
    </row>
    <row r="378" customFormat="false" ht="15" hidden="false" customHeight="false" outlineLevel="0" collapsed="false">
      <c r="D378" s="68"/>
    </row>
    <row r="379" customFormat="false" ht="15" hidden="false" customHeight="false" outlineLevel="0" collapsed="false">
      <c r="D379" s="68"/>
    </row>
    <row r="380" customFormat="false" ht="15" hidden="false" customHeight="false" outlineLevel="0" collapsed="false">
      <c r="D380" s="68"/>
    </row>
    <row r="381" customFormat="false" ht="15" hidden="false" customHeight="false" outlineLevel="0" collapsed="false">
      <c r="D381" s="68"/>
    </row>
    <row r="382" customFormat="false" ht="15" hidden="false" customHeight="false" outlineLevel="0" collapsed="false">
      <c r="D382" s="68"/>
    </row>
    <row r="383" customFormat="false" ht="15" hidden="false" customHeight="false" outlineLevel="0" collapsed="false">
      <c r="D383" s="68"/>
    </row>
    <row r="384" customFormat="false" ht="15" hidden="false" customHeight="false" outlineLevel="0" collapsed="false">
      <c r="D384" s="68"/>
    </row>
    <row r="385" customFormat="false" ht="15" hidden="false" customHeight="false" outlineLevel="0" collapsed="false">
      <c r="D385" s="68"/>
    </row>
    <row r="386" customFormat="false" ht="15" hidden="false" customHeight="false" outlineLevel="0" collapsed="false">
      <c r="D386" s="68"/>
    </row>
    <row r="387" customFormat="false" ht="15" hidden="false" customHeight="false" outlineLevel="0" collapsed="false">
      <c r="D387" s="68"/>
    </row>
    <row r="388" customFormat="false" ht="15" hidden="false" customHeight="false" outlineLevel="0" collapsed="false">
      <c r="D388" s="68"/>
    </row>
    <row r="389" customFormat="false" ht="15" hidden="false" customHeight="false" outlineLevel="0" collapsed="false">
      <c r="D389" s="68"/>
    </row>
    <row r="390" customFormat="false" ht="15" hidden="false" customHeight="false" outlineLevel="0" collapsed="false">
      <c r="D390" s="68"/>
    </row>
    <row r="391" customFormat="false" ht="15" hidden="false" customHeight="false" outlineLevel="0" collapsed="false">
      <c r="D391" s="68"/>
    </row>
    <row r="392" customFormat="false" ht="15" hidden="false" customHeight="false" outlineLevel="0" collapsed="false">
      <c r="D392" s="68"/>
    </row>
    <row r="393" customFormat="false" ht="15" hidden="false" customHeight="false" outlineLevel="0" collapsed="false">
      <c r="D393" s="68"/>
    </row>
    <row r="394" customFormat="false" ht="15" hidden="false" customHeight="false" outlineLevel="0" collapsed="false">
      <c r="D394" s="68"/>
    </row>
    <row r="395" customFormat="false" ht="15" hidden="false" customHeight="false" outlineLevel="0" collapsed="false">
      <c r="D395" s="68"/>
    </row>
    <row r="396" customFormat="false" ht="15" hidden="false" customHeight="false" outlineLevel="0" collapsed="false">
      <c r="D396" s="68"/>
    </row>
    <row r="397" customFormat="false" ht="15" hidden="false" customHeight="false" outlineLevel="0" collapsed="false">
      <c r="D397" s="68"/>
    </row>
    <row r="398" customFormat="false" ht="15" hidden="false" customHeight="false" outlineLevel="0" collapsed="false">
      <c r="D398" s="68"/>
    </row>
    <row r="399" customFormat="false" ht="15" hidden="false" customHeight="false" outlineLevel="0" collapsed="false">
      <c r="D399" s="68"/>
    </row>
    <row r="400" customFormat="false" ht="15" hidden="false" customHeight="false" outlineLevel="0" collapsed="false">
      <c r="D400" s="68"/>
    </row>
    <row r="401" customFormat="false" ht="15" hidden="false" customHeight="false" outlineLevel="0" collapsed="false">
      <c r="D401" s="68"/>
    </row>
    <row r="402" customFormat="false" ht="15" hidden="false" customHeight="false" outlineLevel="0" collapsed="false">
      <c r="D402" s="68"/>
    </row>
    <row r="403" customFormat="false" ht="15" hidden="false" customHeight="false" outlineLevel="0" collapsed="false">
      <c r="D403" s="68"/>
    </row>
    <row r="404" customFormat="false" ht="15" hidden="false" customHeight="false" outlineLevel="0" collapsed="false">
      <c r="D404" s="68"/>
    </row>
    <row r="405" customFormat="false" ht="15" hidden="false" customHeight="false" outlineLevel="0" collapsed="false">
      <c r="D405" s="68"/>
    </row>
    <row r="406" customFormat="false" ht="15" hidden="false" customHeight="false" outlineLevel="0" collapsed="false">
      <c r="D406" s="68"/>
    </row>
    <row r="407" customFormat="false" ht="15" hidden="false" customHeight="false" outlineLevel="0" collapsed="false">
      <c r="D407" s="68"/>
    </row>
    <row r="408" customFormat="false" ht="15" hidden="false" customHeight="false" outlineLevel="0" collapsed="false">
      <c r="D408" s="68"/>
    </row>
    <row r="409" customFormat="false" ht="15" hidden="false" customHeight="false" outlineLevel="0" collapsed="false">
      <c r="D409" s="68"/>
    </row>
    <row r="410" customFormat="false" ht="15" hidden="false" customHeight="false" outlineLevel="0" collapsed="false">
      <c r="D410" s="68"/>
    </row>
    <row r="411" customFormat="false" ht="15" hidden="false" customHeight="false" outlineLevel="0" collapsed="false">
      <c r="D411" s="68"/>
    </row>
    <row r="412" customFormat="false" ht="15" hidden="false" customHeight="false" outlineLevel="0" collapsed="false">
      <c r="D412" s="68"/>
    </row>
    <row r="413" customFormat="false" ht="15" hidden="false" customHeight="false" outlineLevel="0" collapsed="false">
      <c r="D413" s="68"/>
    </row>
    <row r="414" customFormat="false" ht="15" hidden="false" customHeight="false" outlineLevel="0" collapsed="false">
      <c r="D414" s="68"/>
    </row>
    <row r="415" customFormat="false" ht="15" hidden="false" customHeight="false" outlineLevel="0" collapsed="false">
      <c r="D415" s="68"/>
    </row>
    <row r="416" customFormat="false" ht="15" hidden="false" customHeight="false" outlineLevel="0" collapsed="false">
      <c r="D416" s="68"/>
    </row>
    <row r="417" customFormat="false" ht="15" hidden="false" customHeight="false" outlineLevel="0" collapsed="false">
      <c r="D417" s="68"/>
    </row>
    <row r="418" customFormat="false" ht="15" hidden="false" customHeight="false" outlineLevel="0" collapsed="false">
      <c r="D418" s="68"/>
    </row>
    <row r="419" customFormat="false" ht="15" hidden="false" customHeight="false" outlineLevel="0" collapsed="false">
      <c r="D419" s="68"/>
    </row>
    <row r="420" customFormat="false" ht="15" hidden="false" customHeight="false" outlineLevel="0" collapsed="false">
      <c r="D420" s="68"/>
    </row>
    <row r="421" customFormat="false" ht="15" hidden="false" customHeight="false" outlineLevel="0" collapsed="false">
      <c r="D421" s="68"/>
    </row>
    <row r="422" customFormat="false" ht="15" hidden="false" customHeight="false" outlineLevel="0" collapsed="false">
      <c r="D422" s="68"/>
    </row>
    <row r="423" customFormat="false" ht="15" hidden="false" customHeight="false" outlineLevel="0" collapsed="false">
      <c r="D423" s="68"/>
    </row>
    <row r="424" customFormat="false" ht="15" hidden="false" customHeight="false" outlineLevel="0" collapsed="false">
      <c r="D424" s="68"/>
    </row>
    <row r="425" customFormat="false" ht="15" hidden="false" customHeight="false" outlineLevel="0" collapsed="false">
      <c r="D425" s="68"/>
    </row>
    <row r="426" customFormat="false" ht="15" hidden="false" customHeight="false" outlineLevel="0" collapsed="false">
      <c r="D426" s="68"/>
    </row>
    <row r="427" customFormat="false" ht="15" hidden="false" customHeight="false" outlineLevel="0" collapsed="false">
      <c r="D427" s="68"/>
    </row>
    <row r="428" customFormat="false" ht="15" hidden="false" customHeight="false" outlineLevel="0" collapsed="false">
      <c r="D428" s="68"/>
    </row>
    <row r="429" customFormat="false" ht="15" hidden="false" customHeight="false" outlineLevel="0" collapsed="false">
      <c r="D429" s="68"/>
    </row>
    <row r="430" customFormat="false" ht="15" hidden="false" customHeight="false" outlineLevel="0" collapsed="false">
      <c r="D430" s="68"/>
    </row>
    <row r="431" customFormat="false" ht="15" hidden="false" customHeight="false" outlineLevel="0" collapsed="false">
      <c r="D431" s="68"/>
    </row>
    <row r="432" customFormat="false" ht="15" hidden="false" customHeight="false" outlineLevel="0" collapsed="false">
      <c r="D432" s="68"/>
    </row>
    <row r="433" customFormat="false" ht="15" hidden="false" customHeight="false" outlineLevel="0" collapsed="false">
      <c r="D433" s="68"/>
    </row>
    <row r="434" customFormat="false" ht="15" hidden="false" customHeight="false" outlineLevel="0" collapsed="false">
      <c r="D434" s="68"/>
    </row>
    <row r="435" customFormat="false" ht="15" hidden="false" customHeight="false" outlineLevel="0" collapsed="false">
      <c r="D435" s="68"/>
    </row>
    <row r="436" customFormat="false" ht="15" hidden="false" customHeight="false" outlineLevel="0" collapsed="false">
      <c r="D436" s="68"/>
    </row>
    <row r="437" customFormat="false" ht="15" hidden="false" customHeight="false" outlineLevel="0" collapsed="false">
      <c r="D437" s="68"/>
    </row>
    <row r="438" customFormat="false" ht="15" hidden="false" customHeight="false" outlineLevel="0" collapsed="false">
      <c r="D438" s="68"/>
    </row>
    <row r="439" customFormat="false" ht="15" hidden="false" customHeight="false" outlineLevel="0" collapsed="false">
      <c r="D439" s="68"/>
    </row>
    <row r="440" customFormat="false" ht="15" hidden="false" customHeight="false" outlineLevel="0" collapsed="false">
      <c r="D440" s="68"/>
    </row>
    <row r="441" customFormat="false" ht="15" hidden="false" customHeight="false" outlineLevel="0" collapsed="false">
      <c r="D441" s="68"/>
    </row>
    <row r="442" customFormat="false" ht="15" hidden="false" customHeight="false" outlineLevel="0" collapsed="false">
      <c r="D442" s="68"/>
    </row>
    <row r="443" customFormat="false" ht="15" hidden="false" customHeight="false" outlineLevel="0" collapsed="false">
      <c r="D443" s="68"/>
    </row>
    <row r="444" customFormat="false" ht="15" hidden="false" customHeight="false" outlineLevel="0" collapsed="false">
      <c r="D444" s="68"/>
    </row>
    <row r="445" customFormat="false" ht="15" hidden="false" customHeight="false" outlineLevel="0" collapsed="false">
      <c r="D445" s="68"/>
    </row>
    <row r="446" customFormat="false" ht="15" hidden="false" customHeight="false" outlineLevel="0" collapsed="false">
      <c r="D446" s="68"/>
    </row>
    <row r="447" customFormat="false" ht="15" hidden="false" customHeight="false" outlineLevel="0" collapsed="false">
      <c r="D447" s="68"/>
    </row>
    <row r="448" customFormat="false" ht="15" hidden="false" customHeight="false" outlineLevel="0" collapsed="false">
      <c r="D448" s="68"/>
    </row>
    <row r="449" customFormat="false" ht="15" hidden="false" customHeight="false" outlineLevel="0" collapsed="false">
      <c r="D449" s="68"/>
    </row>
    <row r="450" customFormat="false" ht="15" hidden="false" customHeight="false" outlineLevel="0" collapsed="false">
      <c r="D450" s="68"/>
    </row>
    <row r="451" customFormat="false" ht="15" hidden="false" customHeight="false" outlineLevel="0" collapsed="false">
      <c r="D451" s="68"/>
    </row>
    <row r="452" customFormat="false" ht="15" hidden="false" customHeight="false" outlineLevel="0" collapsed="false">
      <c r="D452" s="68"/>
    </row>
    <row r="453" customFormat="false" ht="15" hidden="false" customHeight="false" outlineLevel="0" collapsed="false">
      <c r="D453" s="68"/>
    </row>
    <row r="454" customFormat="false" ht="15" hidden="false" customHeight="false" outlineLevel="0" collapsed="false">
      <c r="D454" s="68"/>
    </row>
    <row r="455" customFormat="false" ht="15" hidden="false" customHeight="false" outlineLevel="0" collapsed="false">
      <c r="D455" s="68"/>
    </row>
    <row r="456" customFormat="false" ht="15" hidden="false" customHeight="false" outlineLevel="0" collapsed="false">
      <c r="D456" s="68"/>
    </row>
    <row r="457" customFormat="false" ht="15" hidden="false" customHeight="false" outlineLevel="0" collapsed="false">
      <c r="D457" s="68"/>
    </row>
    <row r="458" customFormat="false" ht="15" hidden="false" customHeight="false" outlineLevel="0" collapsed="false">
      <c r="D458" s="68"/>
    </row>
    <row r="459" customFormat="false" ht="15" hidden="false" customHeight="false" outlineLevel="0" collapsed="false">
      <c r="D459" s="68"/>
    </row>
    <row r="460" customFormat="false" ht="15" hidden="false" customHeight="false" outlineLevel="0" collapsed="false">
      <c r="D460" s="68"/>
    </row>
    <row r="461" customFormat="false" ht="15" hidden="false" customHeight="false" outlineLevel="0" collapsed="false">
      <c r="D461" s="68"/>
    </row>
    <row r="462" customFormat="false" ht="15" hidden="false" customHeight="false" outlineLevel="0" collapsed="false">
      <c r="D462" s="68"/>
    </row>
    <row r="463" customFormat="false" ht="15" hidden="false" customHeight="false" outlineLevel="0" collapsed="false">
      <c r="D463" s="68"/>
    </row>
    <row r="464" customFormat="false" ht="15" hidden="false" customHeight="false" outlineLevel="0" collapsed="false">
      <c r="D464" s="68"/>
    </row>
    <row r="465" customFormat="false" ht="15" hidden="false" customHeight="false" outlineLevel="0" collapsed="false">
      <c r="D465" s="68"/>
    </row>
    <row r="466" customFormat="false" ht="15" hidden="false" customHeight="false" outlineLevel="0" collapsed="false">
      <c r="D466" s="68"/>
    </row>
    <row r="467" customFormat="false" ht="15" hidden="false" customHeight="false" outlineLevel="0" collapsed="false">
      <c r="D467" s="68"/>
    </row>
    <row r="468" customFormat="false" ht="15" hidden="false" customHeight="false" outlineLevel="0" collapsed="false">
      <c r="D468" s="68"/>
    </row>
    <row r="469" customFormat="false" ht="15" hidden="false" customHeight="false" outlineLevel="0" collapsed="false">
      <c r="D469" s="68"/>
    </row>
    <row r="470" customFormat="false" ht="15" hidden="false" customHeight="false" outlineLevel="0" collapsed="false">
      <c r="D470" s="68"/>
    </row>
    <row r="471" customFormat="false" ht="15" hidden="false" customHeight="false" outlineLevel="0" collapsed="false">
      <c r="D471" s="68"/>
    </row>
    <row r="472" customFormat="false" ht="15" hidden="false" customHeight="false" outlineLevel="0" collapsed="false">
      <c r="D472" s="68"/>
    </row>
    <row r="473" customFormat="false" ht="15" hidden="false" customHeight="false" outlineLevel="0" collapsed="false">
      <c r="D473" s="68"/>
    </row>
    <row r="474" customFormat="false" ht="15" hidden="false" customHeight="false" outlineLevel="0" collapsed="false">
      <c r="D474" s="68"/>
    </row>
    <row r="475" customFormat="false" ht="15" hidden="false" customHeight="false" outlineLevel="0" collapsed="false">
      <c r="D475" s="68"/>
    </row>
    <row r="476" customFormat="false" ht="15" hidden="false" customHeight="false" outlineLevel="0" collapsed="false">
      <c r="D476" s="68"/>
    </row>
    <row r="477" customFormat="false" ht="15" hidden="false" customHeight="false" outlineLevel="0" collapsed="false">
      <c r="D477" s="68"/>
    </row>
    <row r="478" customFormat="false" ht="15" hidden="false" customHeight="false" outlineLevel="0" collapsed="false">
      <c r="D478" s="68"/>
    </row>
    <row r="479" customFormat="false" ht="15" hidden="false" customHeight="false" outlineLevel="0" collapsed="false">
      <c r="D479" s="68"/>
    </row>
    <row r="480" customFormat="false" ht="15" hidden="false" customHeight="false" outlineLevel="0" collapsed="false">
      <c r="D480" s="68"/>
    </row>
    <row r="481" customFormat="false" ht="15" hidden="false" customHeight="false" outlineLevel="0" collapsed="false">
      <c r="D481" s="68"/>
    </row>
    <row r="482" customFormat="false" ht="15" hidden="false" customHeight="false" outlineLevel="0" collapsed="false">
      <c r="D482" s="68"/>
    </row>
    <row r="483" customFormat="false" ht="15" hidden="false" customHeight="false" outlineLevel="0" collapsed="false">
      <c r="D483" s="68"/>
    </row>
    <row r="484" customFormat="false" ht="15" hidden="false" customHeight="false" outlineLevel="0" collapsed="false">
      <c r="D484" s="68"/>
    </row>
    <row r="485" customFormat="false" ht="15" hidden="false" customHeight="false" outlineLevel="0" collapsed="false">
      <c r="D485" s="68"/>
    </row>
    <row r="486" customFormat="false" ht="15" hidden="false" customHeight="false" outlineLevel="0" collapsed="false">
      <c r="D486" s="68"/>
    </row>
    <row r="487" customFormat="false" ht="15" hidden="false" customHeight="false" outlineLevel="0" collapsed="false">
      <c r="D487" s="68"/>
    </row>
    <row r="488" customFormat="false" ht="15" hidden="false" customHeight="false" outlineLevel="0" collapsed="false">
      <c r="D488" s="68"/>
    </row>
    <row r="489" customFormat="false" ht="15" hidden="false" customHeight="false" outlineLevel="0" collapsed="false">
      <c r="D489" s="68"/>
    </row>
    <row r="490" customFormat="false" ht="15" hidden="false" customHeight="false" outlineLevel="0" collapsed="false">
      <c r="D490" s="68"/>
    </row>
    <row r="491" customFormat="false" ht="15" hidden="false" customHeight="false" outlineLevel="0" collapsed="false">
      <c r="D491" s="68"/>
    </row>
    <row r="492" customFormat="false" ht="15" hidden="false" customHeight="false" outlineLevel="0" collapsed="false">
      <c r="D492" s="68"/>
    </row>
    <row r="493" customFormat="false" ht="15" hidden="false" customHeight="false" outlineLevel="0" collapsed="false">
      <c r="D493" s="68"/>
    </row>
    <row r="494" customFormat="false" ht="15" hidden="false" customHeight="false" outlineLevel="0" collapsed="false">
      <c r="D494" s="68"/>
    </row>
    <row r="495" customFormat="false" ht="15" hidden="false" customHeight="false" outlineLevel="0" collapsed="false">
      <c r="D495" s="68"/>
    </row>
    <row r="496" customFormat="false" ht="15" hidden="false" customHeight="false" outlineLevel="0" collapsed="false">
      <c r="D496" s="68"/>
    </row>
    <row r="497" customFormat="false" ht="15" hidden="false" customHeight="false" outlineLevel="0" collapsed="false">
      <c r="D497" s="68"/>
    </row>
    <row r="498" customFormat="false" ht="15" hidden="false" customHeight="false" outlineLevel="0" collapsed="false">
      <c r="D498" s="68"/>
    </row>
    <row r="499" customFormat="false" ht="15" hidden="false" customHeight="false" outlineLevel="0" collapsed="false">
      <c r="D499" s="68"/>
    </row>
    <row r="500" customFormat="false" ht="15" hidden="false" customHeight="false" outlineLevel="0" collapsed="false">
      <c r="D500" s="68"/>
    </row>
    <row r="501" customFormat="false" ht="15" hidden="false" customHeight="false" outlineLevel="0" collapsed="false">
      <c r="D501" s="68"/>
    </row>
    <row r="502" customFormat="false" ht="15" hidden="false" customHeight="false" outlineLevel="0" collapsed="false">
      <c r="D502" s="68"/>
    </row>
    <row r="503" customFormat="false" ht="15" hidden="false" customHeight="false" outlineLevel="0" collapsed="false">
      <c r="D503" s="68"/>
    </row>
    <row r="504" customFormat="false" ht="15" hidden="false" customHeight="false" outlineLevel="0" collapsed="false">
      <c r="D504" s="68"/>
    </row>
    <row r="505" customFormat="false" ht="15" hidden="false" customHeight="false" outlineLevel="0" collapsed="false">
      <c r="D505" s="68"/>
    </row>
    <row r="506" customFormat="false" ht="15" hidden="false" customHeight="false" outlineLevel="0" collapsed="false">
      <c r="D506" s="68"/>
    </row>
    <row r="507" customFormat="false" ht="15" hidden="false" customHeight="false" outlineLevel="0" collapsed="false">
      <c r="D507" s="68"/>
    </row>
    <row r="508" customFormat="false" ht="15" hidden="false" customHeight="false" outlineLevel="0" collapsed="false">
      <c r="D508" s="68"/>
    </row>
    <row r="509" customFormat="false" ht="15" hidden="false" customHeight="false" outlineLevel="0" collapsed="false">
      <c r="D509" s="68"/>
    </row>
    <row r="510" customFormat="false" ht="15" hidden="false" customHeight="false" outlineLevel="0" collapsed="false">
      <c r="D510" s="68"/>
    </row>
    <row r="511" customFormat="false" ht="15" hidden="false" customHeight="false" outlineLevel="0" collapsed="false">
      <c r="D511" s="68"/>
    </row>
    <row r="512" customFormat="false" ht="15" hidden="false" customHeight="false" outlineLevel="0" collapsed="false">
      <c r="D512" s="68"/>
    </row>
    <row r="513" customFormat="false" ht="15" hidden="false" customHeight="false" outlineLevel="0" collapsed="false">
      <c r="D513" s="68"/>
    </row>
    <row r="514" customFormat="false" ht="15" hidden="false" customHeight="false" outlineLevel="0" collapsed="false">
      <c r="D514" s="68"/>
    </row>
    <row r="515" customFormat="false" ht="15" hidden="false" customHeight="false" outlineLevel="0" collapsed="false">
      <c r="D515" s="68"/>
    </row>
    <row r="516" customFormat="false" ht="15" hidden="false" customHeight="false" outlineLevel="0" collapsed="false">
      <c r="D516" s="68"/>
    </row>
    <row r="517" customFormat="false" ht="15" hidden="false" customHeight="false" outlineLevel="0" collapsed="false">
      <c r="D517" s="68"/>
    </row>
    <row r="518" customFormat="false" ht="15" hidden="false" customHeight="false" outlineLevel="0" collapsed="false">
      <c r="D518" s="68"/>
    </row>
    <row r="519" customFormat="false" ht="15" hidden="false" customHeight="false" outlineLevel="0" collapsed="false">
      <c r="D519" s="68"/>
    </row>
    <row r="520" customFormat="false" ht="15" hidden="false" customHeight="false" outlineLevel="0" collapsed="false">
      <c r="D520" s="68"/>
    </row>
    <row r="521" customFormat="false" ht="15" hidden="false" customHeight="false" outlineLevel="0" collapsed="false">
      <c r="D521" s="68"/>
    </row>
    <row r="522" customFormat="false" ht="15" hidden="false" customHeight="false" outlineLevel="0" collapsed="false">
      <c r="D522" s="68"/>
    </row>
    <row r="523" customFormat="false" ht="15" hidden="false" customHeight="false" outlineLevel="0" collapsed="false">
      <c r="D523" s="68"/>
    </row>
    <row r="524" customFormat="false" ht="15" hidden="false" customHeight="false" outlineLevel="0" collapsed="false">
      <c r="D524" s="68"/>
    </row>
    <row r="525" customFormat="false" ht="15" hidden="false" customHeight="false" outlineLevel="0" collapsed="false">
      <c r="D525" s="68"/>
    </row>
    <row r="526" customFormat="false" ht="15" hidden="false" customHeight="false" outlineLevel="0" collapsed="false">
      <c r="D526" s="68"/>
    </row>
    <row r="527" customFormat="false" ht="15" hidden="false" customHeight="false" outlineLevel="0" collapsed="false">
      <c r="D527" s="68"/>
    </row>
    <row r="528" customFormat="false" ht="15" hidden="false" customHeight="false" outlineLevel="0" collapsed="false">
      <c r="D528" s="68"/>
    </row>
    <row r="529" customFormat="false" ht="15" hidden="false" customHeight="false" outlineLevel="0" collapsed="false">
      <c r="D529" s="68"/>
    </row>
    <row r="530" customFormat="false" ht="15" hidden="false" customHeight="false" outlineLevel="0" collapsed="false">
      <c r="D530" s="68"/>
    </row>
    <row r="531" customFormat="false" ht="15" hidden="false" customHeight="false" outlineLevel="0" collapsed="false">
      <c r="D531" s="68"/>
    </row>
    <row r="532" customFormat="false" ht="15" hidden="false" customHeight="false" outlineLevel="0" collapsed="false">
      <c r="D532" s="68"/>
    </row>
    <row r="533" customFormat="false" ht="15" hidden="false" customHeight="false" outlineLevel="0" collapsed="false">
      <c r="D533" s="68"/>
    </row>
    <row r="534" customFormat="false" ht="15" hidden="false" customHeight="false" outlineLevel="0" collapsed="false">
      <c r="D534" s="68"/>
    </row>
    <row r="535" customFormat="false" ht="15" hidden="false" customHeight="false" outlineLevel="0" collapsed="false">
      <c r="D535" s="68"/>
    </row>
    <row r="536" customFormat="false" ht="15" hidden="false" customHeight="false" outlineLevel="0" collapsed="false">
      <c r="D536" s="68"/>
    </row>
    <row r="537" customFormat="false" ht="15" hidden="false" customHeight="false" outlineLevel="0" collapsed="false">
      <c r="D537" s="68"/>
    </row>
    <row r="538" customFormat="false" ht="15" hidden="false" customHeight="false" outlineLevel="0" collapsed="false">
      <c r="D538" s="68"/>
    </row>
    <row r="539" customFormat="false" ht="15" hidden="false" customHeight="false" outlineLevel="0" collapsed="false">
      <c r="D539" s="68"/>
    </row>
    <row r="540" customFormat="false" ht="15" hidden="false" customHeight="false" outlineLevel="0" collapsed="false">
      <c r="D540" s="68"/>
    </row>
    <row r="541" customFormat="false" ht="15" hidden="false" customHeight="false" outlineLevel="0" collapsed="false">
      <c r="D541" s="68"/>
    </row>
    <row r="542" customFormat="false" ht="15" hidden="false" customHeight="false" outlineLevel="0" collapsed="false">
      <c r="D542" s="68"/>
    </row>
    <row r="543" customFormat="false" ht="15" hidden="false" customHeight="false" outlineLevel="0" collapsed="false">
      <c r="D543" s="68"/>
    </row>
    <row r="544" customFormat="false" ht="15" hidden="false" customHeight="false" outlineLevel="0" collapsed="false">
      <c r="D544" s="68"/>
    </row>
    <row r="545" customFormat="false" ht="15" hidden="false" customHeight="false" outlineLevel="0" collapsed="false">
      <c r="D545" s="68"/>
    </row>
    <row r="546" customFormat="false" ht="15" hidden="false" customHeight="false" outlineLevel="0" collapsed="false">
      <c r="D546" s="68"/>
    </row>
    <row r="547" customFormat="false" ht="15" hidden="false" customHeight="false" outlineLevel="0" collapsed="false">
      <c r="D547" s="68"/>
    </row>
    <row r="548" customFormat="false" ht="15" hidden="false" customHeight="false" outlineLevel="0" collapsed="false">
      <c r="D548" s="68"/>
    </row>
    <row r="549" customFormat="false" ht="15" hidden="false" customHeight="false" outlineLevel="0" collapsed="false">
      <c r="D549" s="68"/>
    </row>
    <row r="550" customFormat="false" ht="15" hidden="false" customHeight="false" outlineLevel="0" collapsed="false">
      <c r="D550" s="68"/>
    </row>
    <row r="551" customFormat="false" ht="15" hidden="false" customHeight="false" outlineLevel="0" collapsed="false">
      <c r="D551" s="68"/>
    </row>
    <row r="552" customFormat="false" ht="15" hidden="false" customHeight="false" outlineLevel="0" collapsed="false">
      <c r="D552" s="68"/>
    </row>
    <row r="553" customFormat="false" ht="15" hidden="false" customHeight="false" outlineLevel="0" collapsed="false">
      <c r="D553" s="68"/>
    </row>
    <row r="554" customFormat="false" ht="15" hidden="false" customHeight="false" outlineLevel="0" collapsed="false">
      <c r="D554" s="68"/>
    </row>
    <row r="555" customFormat="false" ht="15" hidden="false" customHeight="false" outlineLevel="0" collapsed="false">
      <c r="D555" s="68"/>
    </row>
    <row r="556" customFormat="false" ht="15" hidden="false" customHeight="false" outlineLevel="0" collapsed="false">
      <c r="D556" s="68"/>
    </row>
    <row r="557" customFormat="false" ht="15" hidden="false" customHeight="false" outlineLevel="0" collapsed="false">
      <c r="D557" s="68"/>
    </row>
    <row r="558" customFormat="false" ht="15" hidden="false" customHeight="false" outlineLevel="0" collapsed="false">
      <c r="D558" s="68"/>
    </row>
    <row r="559" customFormat="false" ht="15" hidden="false" customHeight="false" outlineLevel="0" collapsed="false">
      <c r="D559" s="68"/>
    </row>
    <row r="560" customFormat="false" ht="15" hidden="false" customHeight="false" outlineLevel="0" collapsed="false">
      <c r="D560" s="68"/>
    </row>
    <row r="561" customFormat="false" ht="15" hidden="false" customHeight="false" outlineLevel="0" collapsed="false">
      <c r="D561" s="68"/>
    </row>
    <row r="562" customFormat="false" ht="15" hidden="false" customHeight="false" outlineLevel="0" collapsed="false">
      <c r="D562" s="68"/>
    </row>
    <row r="563" customFormat="false" ht="15" hidden="false" customHeight="false" outlineLevel="0" collapsed="false">
      <c r="D563" s="68"/>
    </row>
    <row r="564" customFormat="false" ht="15" hidden="false" customHeight="false" outlineLevel="0" collapsed="false">
      <c r="D564" s="68"/>
    </row>
    <row r="565" customFormat="false" ht="15" hidden="false" customHeight="false" outlineLevel="0" collapsed="false">
      <c r="D565" s="68"/>
    </row>
    <row r="566" customFormat="false" ht="15" hidden="false" customHeight="false" outlineLevel="0" collapsed="false">
      <c r="D566" s="68"/>
    </row>
    <row r="567" customFormat="false" ht="15" hidden="false" customHeight="false" outlineLevel="0" collapsed="false">
      <c r="D567" s="68"/>
    </row>
    <row r="568" customFormat="false" ht="15" hidden="false" customHeight="false" outlineLevel="0" collapsed="false">
      <c r="D568" s="68"/>
    </row>
    <row r="569" customFormat="false" ht="15" hidden="false" customHeight="false" outlineLevel="0" collapsed="false">
      <c r="D569" s="68"/>
    </row>
    <row r="570" customFormat="false" ht="15" hidden="false" customHeight="false" outlineLevel="0" collapsed="false">
      <c r="D570" s="68"/>
    </row>
    <row r="571" customFormat="false" ht="15" hidden="false" customHeight="false" outlineLevel="0" collapsed="false">
      <c r="D571" s="68"/>
    </row>
    <row r="572" customFormat="false" ht="15" hidden="false" customHeight="false" outlineLevel="0" collapsed="false">
      <c r="D572" s="68"/>
    </row>
    <row r="573" customFormat="false" ht="15" hidden="false" customHeight="false" outlineLevel="0" collapsed="false">
      <c r="D573" s="68"/>
    </row>
    <row r="574" customFormat="false" ht="15" hidden="false" customHeight="false" outlineLevel="0" collapsed="false">
      <c r="D574" s="68"/>
    </row>
    <row r="575" customFormat="false" ht="15" hidden="false" customHeight="false" outlineLevel="0" collapsed="false">
      <c r="D575" s="68"/>
    </row>
    <row r="576" customFormat="false" ht="15" hidden="false" customHeight="false" outlineLevel="0" collapsed="false">
      <c r="D576" s="68"/>
    </row>
    <row r="577" customFormat="false" ht="15" hidden="false" customHeight="false" outlineLevel="0" collapsed="false">
      <c r="D577" s="68"/>
    </row>
    <row r="578" customFormat="false" ht="15" hidden="false" customHeight="false" outlineLevel="0" collapsed="false">
      <c r="D578" s="68"/>
    </row>
    <row r="579" customFormat="false" ht="15" hidden="false" customHeight="false" outlineLevel="0" collapsed="false">
      <c r="D579" s="68"/>
    </row>
    <row r="580" customFormat="false" ht="15" hidden="false" customHeight="false" outlineLevel="0" collapsed="false">
      <c r="D580" s="68"/>
    </row>
    <row r="581" customFormat="false" ht="15" hidden="false" customHeight="false" outlineLevel="0" collapsed="false">
      <c r="D581" s="68"/>
    </row>
    <row r="582" customFormat="false" ht="15" hidden="false" customHeight="false" outlineLevel="0" collapsed="false">
      <c r="D582" s="68"/>
    </row>
    <row r="583" customFormat="false" ht="15" hidden="false" customHeight="false" outlineLevel="0" collapsed="false">
      <c r="D583" s="68"/>
    </row>
    <row r="584" customFormat="false" ht="15" hidden="false" customHeight="false" outlineLevel="0" collapsed="false">
      <c r="D584" s="68"/>
    </row>
    <row r="585" customFormat="false" ht="15" hidden="false" customHeight="false" outlineLevel="0" collapsed="false">
      <c r="D585" s="68"/>
    </row>
    <row r="586" customFormat="false" ht="15" hidden="false" customHeight="false" outlineLevel="0" collapsed="false">
      <c r="D586" s="68"/>
    </row>
    <row r="587" customFormat="false" ht="15" hidden="false" customHeight="false" outlineLevel="0" collapsed="false">
      <c r="D587" s="68"/>
    </row>
    <row r="588" customFormat="false" ht="15" hidden="false" customHeight="false" outlineLevel="0" collapsed="false">
      <c r="D588" s="68"/>
    </row>
    <row r="589" customFormat="false" ht="15" hidden="false" customHeight="false" outlineLevel="0" collapsed="false">
      <c r="D589" s="68"/>
    </row>
    <row r="590" customFormat="false" ht="15" hidden="false" customHeight="false" outlineLevel="0" collapsed="false">
      <c r="D590" s="68"/>
    </row>
    <row r="591" customFormat="false" ht="15" hidden="false" customHeight="false" outlineLevel="0" collapsed="false">
      <c r="D591" s="68"/>
    </row>
    <row r="592" customFormat="false" ht="15" hidden="false" customHeight="false" outlineLevel="0" collapsed="false">
      <c r="D592" s="68"/>
    </row>
    <row r="593" customFormat="false" ht="15" hidden="false" customHeight="false" outlineLevel="0" collapsed="false">
      <c r="D593" s="68"/>
    </row>
    <row r="594" customFormat="false" ht="15" hidden="false" customHeight="false" outlineLevel="0" collapsed="false">
      <c r="D594" s="68"/>
    </row>
    <row r="595" customFormat="false" ht="15" hidden="false" customHeight="false" outlineLevel="0" collapsed="false">
      <c r="D595" s="68"/>
    </row>
    <row r="596" customFormat="false" ht="15" hidden="false" customHeight="false" outlineLevel="0" collapsed="false">
      <c r="D596" s="68"/>
    </row>
    <row r="597" customFormat="false" ht="15" hidden="false" customHeight="false" outlineLevel="0" collapsed="false">
      <c r="D597" s="68"/>
    </row>
    <row r="598" customFormat="false" ht="15" hidden="false" customHeight="false" outlineLevel="0" collapsed="false">
      <c r="D598" s="68"/>
    </row>
    <row r="599" customFormat="false" ht="15" hidden="false" customHeight="false" outlineLevel="0" collapsed="false">
      <c r="D599" s="68"/>
    </row>
    <row r="600" customFormat="false" ht="15" hidden="false" customHeight="false" outlineLevel="0" collapsed="false">
      <c r="D600" s="68"/>
    </row>
    <row r="601" customFormat="false" ht="15" hidden="false" customHeight="false" outlineLevel="0" collapsed="false">
      <c r="D601" s="68"/>
    </row>
    <row r="602" customFormat="false" ht="15" hidden="false" customHeight="false" outlineLevel="0" collapsed="false">
      <c r="D602" s="68"/>
    </row>
    <row r="603" customFormat="false" ht="15" hidden="false" customHeight="false" outlineLevel="0" collapsed="false">
      <c r="D603" s="68"/>
    </row>
    <row r="604" customFormat="false" ht="15" hidden="false" customHeight="false" outlineLevel="0" collapsed="false">
      <c r="D604" s="68"/>
    </row>
    <row r="605" customFormat="false" ht="15" hidden="false" customHeight="false" outlineLevel="0" collapsed="false">
      <c r="D605" s="68"/>
    </row>
    <row r="606" customFormat="false" ht="15" hidden="false" customHeight="false" outlineLevel="0" collapsed="false">
      <c r="D606" s="68"/>
    </row>
    <row r="607" customFormat="false" ht="15" hidden="false" customHeight="false" outlineLevel="0" collapsed="false">
      <c r="D607" s="68"/>
    </row>
    <row r="608" customFormat="false" ht="15" hidden="false" customHeight="false" outlineLevel="0" collapsed="false">
      <c r="D608" s="68"/>
    </row>
    <row r="609" customFormat="false" ht="15" hidden="false" customHeight="false" outlineLevel="0" collapsed="false">
      <c r="D609" s="68"/>
    </row>
    <row r="610" customFormat="false" ht="15" hidden="false" customHeight="false" outlineLevel="0" collapsed="false">
      <c r="D610" s="68"/>
    </row>
    <row r="611" customFormat="false" ht="15" hidden="false" customHeight="false" outlineLevel="0" collapsed="false">
      <c r="D611" s="68"/>
    </row>
    <row r="612" customFormat="false" ht="15" hidden="false" customHeight="false" outlineLevel="0" collapsed="false">
      <c r="D612" s="68"/>
    </row>
    <row r="613" customFormat="false" ht="15" hidden="false" customHeight="false" outlineLevel="0" collapsed="false">
      <c r="D613" s="68"/>
    </row>
    <row r="614" customFormat="false" ht="15" hidden="false" customHeight="false" outlineLevel="0" collapsed="false">
      <c r="D614" s="68"/>
    </row>
    <row r="615" customFormat="false" ht="15" hidden="false" customHeight="false" outlineLevel="0" collapsed="false">
      <c r="D615" s="68"/>
    </row>
    <row r="616" customFormat="false" ht="15" hidden="false" customHeight="false" outlineLevel="0" collapsed="false">
      <c r="D616" s="68"/>
    </row>
    <row r="617" customFormat="false" ht="15" hidden="false" customHeight="false" outlineLevel="0" collapsed="false">
      <c r="D617" s="68"/>
    </row>
    <row r="618" customFormat="false" ht="15" hidden="false" customHeight="false" outlineLevel="0" collapsed="false">
      <c r="D618" s="68"/>
    </row>
    <row r="619" customFormat="false" ht="15" hidden="false" customHeight="false" outlineLevel="0" collapsed="false">
      <c r="D619" s="68"/>
    </row>
    <row r="620" customFormat="false" ht="15" hidden="false" customHeight="false" outlineLevel="0" collapsed="false">
      <c r="D620" s="68"/>
    </row>
    <row r="621" customFormat="false" ht="15" hidden="false" customHeight="false" outlineLevel="0" collapsed="false">
      <c r="D621" s="68"/>
    </row>
    <row r="622" customFormat="false" ht="15" hidden="false" customHeight="false" outlineLevel="0" collapsed="false">
      <c r="D622" s="68"/>
    </row>
    <row r="623" customFormat="false" ht="15" hidden="false" customHeight="false" outlineLevel="0" collapsed="false">
      <c r="D623" s="68"/>
    </row>
    <row r="624" customFormat="false" ht="15" hidden="false" customHeight="false" outlineLevel="0" collapsed="false">
      <c r="D624" s="68"/>
    </row>
    <row r="625" customFormat="false" ht="15" hidden="false" customHeight="false" outlineLevel="0" collapsed="false">
      <c r="D625" s="68"/>
    </row>
    <row r="626" customFormat="false" ht="15" hidden="false" customHeight="false" outlineLevel="0" collapsed="false">
      <c r="D626" s="68"/>
    </row>
    <row r="627" customFormat="false" ht="15" hidden="false" customHeight="false" outlineLevel="0" collapsed="false">
      <c r="D627" s="68"/>
    </row>
    <row r="628" customFormat="false" ht="15" hidden="false" customHeight="false" outlineLevel="0" collapsed="false">
      <c r="D628" s="68"/>
    </row>
    <row r="629" customFormat="false" ht="15" hidden="false" customHeight="false" outlineLevel="0" collapsed="false">
      <c r="D629" s="68"/>
    </row>
    <row r="630" customFormat="false" ht="15" hidden="false" customHeight="false" outlineLevel="0" collapsed="false">
      <c r="D630" s="68"/>
    </row>
    <row r="631" customFormat="false" ht="15" hidden="false" customHeight="false" outlineLevel="0" collapsed="false">
      <c r="D631" s="68"/>
    </row>
    <row r="632" customFormat="false" ht="15" hidden="false" customHeight="false" outlineLevel="0" collapsed="false">
      <c r="D632" s="68"/>
    </row>
    <row r="633" customFormat="false" ht="15" hidden="false" customHeight="false" outlineLevel="0" collapsed="false">
      <c r="D633" s="68"/>
    </row>
    <row r="634" customFormat="false" ht="15" hidden="false" customHeight="false" outlineLevel="0" collapsed="false">
      <c r="D634" s="68"/>
    </row>
    <row r="635" customFormat="false" ht="15" hidden="false" customHeight="false" outlineLevel="0" collapsed="false">
      <c r="D635" s="68"/>
    </row>
    <row r="636" customFormat="false" ht="15" hidden="false" customHeight="false" outlineLevel="0" collapsed="false">
      <c r="D636" s="68"/>
    </row>
    <row r="637" customFormat="false" ht="15" hidden="false" customHeight="false" outlineLevel="0" collapsed="false">
      <c r="D637" s="68"/>
    </row>
    <row r="638" customFormat="false" ht="15" hidden="false" customHeight="false" outlineLevel="0" collapsed="false">
      <c r="D638" s="68"/>
    </row>
    <row r="639" customFormat="false" ht="15" hidden="false" customHeight="false" outlineLevel="0" collapsed="false">
      <c r="D639" s="68"/>
    </row>
    <row r="640" customFormat="false" ht="15" hidden="false" customHeight="false" outlineLevel="0" collapsed="false">
      <c r="D640" s="68"/>
    </row>
    <row r="641" customFormat="false" ht="15" hidden="false" customHeight="false" outlineLevel="0" collapsed="false">
      <c r="D641" s="68"/>
    </row>
    <row r="642" customFormat="false" ht="15" hidden="false" customHeight="false" outlineLevel="0" collapsed="false">
      <c r="D642" s="68"/>
    </row>
    <row r="643" customFormat="false" ht="15" hidden="false" customHeight="false" outlineLevel="0" collapsed="false">
      <c r="D643" s="68"/>
    </row>
    <row r="644" customFormat="false" ht="15" hidden="false" customHeight="false" outlineLevel="0" collapsed="false">
      <c r="D644" s="68"/>
    </row>
    <row r="645" customFormat="false" ht="15" hidden="false" customHeight="false" outlineLevel="0" collapsed="false">
      <c r="D645" s="68"/>
    </row>
    <row r="646" customFormat="false" ht="15" hidden="false" customHeight="false" outlineLevel="0" collapsed="false">
      <c r="D646" s="68"/>
    </row>
    <row r="647" customFormat="false" ht="15" hidden="false" customHeight="false" outlineLevel="0" collapsed="false">
      <c r="D647" s="68"/>
    </row>
    <row r="648" customFormat="false" ht="15" hidden="false" customHeight="false" outlineLevel="0" collapsed="false">
      <c r="D648" s="68"/>
    </row>
    <row r="649" customFormat="false" ht="15" hidden="false" customHeight="false" outlineLevel="0" collapsed="false">
      <c r="D649" s="68"/>
    </row>
    <row r="650" customFormat="false" ht="15" hidden="false" customHeight="false" outlineLevel="0" collapsed="false">
      <c r="D650" s="68"/>
    </row>
    <row r="651" customFormat="false" ht="15" hidden="false" customHeight="false" outlineLevel="0" collapsed="false">
      <c r="D651" s="68"/>
    </row>
    <row r="652" customFormat="false" ht="15" hidden="false" customHeight="false" outlineLevel="0" collapsed="false">
      <c r="D652" s="68"/>
    </row>
    <row r="653" customFormat="false" ht="15" hidden="false" customHeight="false" outlineLevel="0" collapsed="false">
      <c r="D653" s="68"/>
    </row>
    <row r="654" customFormat="false" ht="15" hidden="false" customHeight="false" outlineLevel="0" collapsed="false">
      <c r="D654" s="68"/>
    </row>
    <row r="655" customFormat="false" ht="15" hidden="false" customHeight="false" outlineLevel="0" collapsed="false">
      <c r="D655" s="68"/>
    </row>
    <row r="656" customFormat="false" ht="15" hidden="false" customHeight="false" outlineLevel="0" collapsed="false">
      <c r="D656" s="68"/>
    </row>
    <row r="657" customFormat="false" ht="15" hidden="false" customHeight="false" outlineLevel="0" collapsed="false">
      <c r="D657" s="68"/>
    </row>
    <row r="658" customFormat="false" ht="15" hidden="false" customHeight="false" outlineLevel="0" collapsed="false">
      <c r="D658" s="68"/>
    </row>
    <row r="659" customFormat="false" ht="15" hidden="false" customHeight="false" outlineLevel="0" collapsed="false">
      <c r="D659" s="68"/>
    </row>
    <row r="660" customFormat="false" ht="15" hidden="false" customHeight="false" outlineLevel="0" collapsed="false">
      <c r="D660" s="68"/>
    </row>
    <row r="661" customFormat="false" ht="15" hidden="false" customHeight="false" outlineLevel="0" collapsed="false">
      <c r="D661" s="68"/>
    </row>
    <row r="662" customFormat="false" ht="15" hidden="false" customHeight="false" outlineLevel="0" collapsed="false">
      <c r="D662" s="68"/>
    </row>
    <row r="663" customFormat="false" ht="15" hidden="false" customHeight="false" outlineLevel="0" collapsed="false">
      <c r="D663" s="68"/>
    </row>
    <row r="664" customFormat="false" ht="15" hidden="false" customHeight="false" outlineLevel="0" collapsed="false">
      <c r="D664" s="68"/>
    </row>
    <row r="665" customFormat="false" ht="15" hidden="false" customHeight="false" outlineLevel="0" collapsed="false">
      <c r="D665" s="68"/>
    </row>
    <row r="666" customFormat="false" ht="15" hidden="false" customHeight="false" outlineLevel="0" collapsed="false">
      <c r="D666" s="68"/>
    </row>
    <row r="667" customFormat="false" ht="15" hidden="false" customHeight="false" outlineLevel="0" collapsed="false">
      <c r="D667" s="68"/>
    </row>
    <row r="668" customFormat="false" ht="15" hidden="false" customHeight="false" outlineLevel="0" collapsed="false">
      <c r="D668" s="68"/>
    </row>
    <row r="669" customFormat="false" ht="15" hidden="false" customHeight="false" outlineLevel="0" collapsed="false">
      <c r="D669" s="68"/>
    </row>
    <row r="670" customFormat="false" ht="15" hidden="false" customHeight="false" outlineLevel="0" collapsed="false">
      <c r="D670" s="68"/>
    </row>
    <row r="671" customFormat="false" ht="15" hidden="false" customHeight="false" outlineLevel="0" collapsed="false">
      <c r="D671" s="68"/>
    </row>
    <row r="672" customFormat="false" ht="15" hidden="false" customHeight="false" outlineLevel="0" collapsed="false">
      <c r="D672" s="68"/>
    </row>
    <row r="673" customFormat="false" ht="15" hidden="false" customHeight="false" outlineLevel="0" collapsed="false">
      <c r="D673" s="68"/>
    </row>
    <row r="674" customFormat="false" ht="15" hidden="false" customHeight="false" outlineLevel="0" collapsed="false">
      <c r="D674" s="68"/>
    </row>
    <row r="675" customFormat="false" ht="15" hidden="false" customHeight="false" outlineLevel="0" collapsed="false">
      <c r="D675" s="68"/>
    </row>
    <row r="676" customFormat="false" ht="15" hidden="false" customHeight="false" outlineLevel="0" collapsed="false">
      <c r="D676" s="68"/>
    </row>
    <row r="677" customFormat="false" ht="15" hidden="false" customHeight="false" outlineLevel="0" collapsed="false">
      <c r="D677" s="68"/>
    </row>
    <row r="678" customFormat="false" ht="15" hidden="false" customHeight="false" outlineLevel="0" collapsed="false">
      <c r="D678" s="68"/>
    </row>
    <row r="679" customFormat="false" ht="15" hidden="false" customHeight="false" outlineLevel="0" collapsed="false">
      <c r="D679" s="68"/>
    </row>
    <row r="680" customFormat="false" ht="15" hidden="false" customHeight="false" outlineLevel="0" collapsed="false">
      <c r="D680" s="68"/>
    </row>
    <row r="681" customFormat="false" ht="15" hidden="false" customHeight="false" outlineLevel="0" collapsed="false">
      <c r="D681" s="68"/>
    </row>
    <row r="682" customFormat="false" ht="15" hidden="false" customHeight="false" outlineLevel="0" collapsed="false">
      <c r="D682" s="68"/>
    </row>
    <row r="683" customFormat="false" ht="15" hidden="false" customHeight="false" outlineLevel="0" collapsed="false">
      <c r="D683" s="68"/>
    </row>
    <row r="684" customFormat="false" ht="15" hidden="false" customHeight="false" outlineLevel="0" collapsed="false">
      <c r="D684" s="68"/>
    </row>
    <row r="685" customFormat="false" ht="15" hidden="false" customHeight="false" outlineLevel="0" collapsed="false">
      <c r="D685" s="68"/>
    </row>
    <row r="686" customFormat="false" ht="15" hidden="false" customHeight="false" outlineLevel="0" collapsed="false">
      <c r="D686" s="68"/>
    </row>
    <row r="687" customFormat="false" ht="15" hidden="false" customHeight="false" outlineLevel="0" collapsed="false">
      <c r="D687" s="68"/>
    </row>
    <row r="688" customFormat="false" ht="15" hidden="false" customHeight="false" outlineLevel="0" collapsed="false">
      <c r="D688" s="68"/>
    </row>
    <row r="689" customFormat="false" ht="15" hidden="false" customHeight="false" outlineLevel="0" collapsed="false">
      <c r="D689" s="68"/>
    </row>
    <row r="690" customFormat="false" ht="15" hidden="false" customHeight="false" outlineLevel="0" collapsed="false">
      <c r="D690" s="68"/>
    </row>
    <row r="691" customFormat="false" ht="15" hidden="false" customHeight="false" outlineLevel="0" collapsed="false">
      <c r="D691" s="68"/>
    </row>
    <row r="692" customFormat="false" ht="15" hidden="false" customHeight="false" outlineLevel="0" collapsed="false">
      <c r="D692" s="68"/>
    </row>
    <row r="693" customFormat="false" ht="15" hidden="false" customHeight="false" outlineLevel="0" collapsed="false">
      <c r="D693" s="68"/>
    </row>
    <row r="694" customFormat="false" ht="15" hidden="false" customHeight="false" outlineLevel="0" collapsed="false">
      <c r="D694" s="68"/>
    </row>
    <row r="695" customFormat="false" ht="15" hidden="false" customHeight="false" outlineLevel="0" collapsed="false">
      <c r="D695" s="68"/>
    </row>
    <row r="696" customFormat="false" ht="15" hidden="false" customHeight="false" outlineLevel="0" collapsed="false">
      <c r="D696" s="68"/>
    </row>
    <row r="697" customFormat="false" ht="15" hidden="false" customHeight="false" outlineLevel="0" collapsed="false">
      <c r="D697" s="68"/>
    </row>
    <row r="698" customFormat="false" ht="15" hidden="false" customHeight="false" outlineLevel="0" collapsed="false">
      <c r="D698" s="68"/>
    </row>
    <row r="699" customFormat="false" ht="15" hidden="false" customHeight="false" outlineLevel="0" collapsed="false">
      <c r="D699" s="68"/>
    </row>
    <row r="700" customFormat="false" ht="15" hidden="false" customHeight="false" outlineLevel="0" collapsed="false">
      <c r="D700" s="68"/>
    </row>
    <row r="701" customFormat="false" ht="15" hidden="false" customHeight="false" outlineLevel="0" collapsed="false">
      <c r="D701" s="68"/>
    </row>
    <row r="702" customFormat="false" ht="15" hidden="false" customHeight="false" outlineLevel="0" collapsed="false">
      <c r="D702" s="68"/>
    </row>
    <row r="703" customFormat="false" ht="15" hidden="false" customHeight="false" outlineLevel="0" collapsed="false">
      <c r="D703" s="68"/>
    </row>
    <row r="704" customFormat="false" ht="15" hidden="false" customHeight="false" outlineLevel="0" collapsed="false">
      <c r="D704" s="68"/>
    </row>
    <row r="705" customFormat="false" ht="15" hidden="false" customHeight="false" outlineLevel="0" collapsed="false">
      <c r="D705" s="68"/>
    </row>
    <row r="706" customFormat="false" ht="15" hidden="false" customHeight="false" outlineLevel="0" collapsed="false">
      <c r="D706" s="68"/>
    </row>
    <row r="707" customFormat="false" ht="15" hidden="false" customHeight="false" outlineLevel="0" collapsed="false">
      <c r="D707" s="68"/>
    </row>
    <row r="708" customFormat="false" ht="15" hidden="false" customHeight="false" outlineLevel="0" collapsed="false">
      <c r="D708" s="68"/>
    </row>
    <row r="709" customFormat="false" ht="15" hidden="false" customHeight="false" outlineLevel="0" collapsed="false">
      <c r="D709" s="68"/>
    </row>
    <row r="710" customFormat="false" ht="15" hidden="false" customHeight="false" outlineLevel="0" collapsed="false">
      <c r="D710" s="68"/>
    </row>
    <row r="711" customFormat="false" ht="15" hidden="false" customHeight="false" outlineLevel="0" collapsed="false">
      <c r="D711" s="68"/>
    </row>
    <row r="712" customFormat="false" ht="15" hidden="false" customHeight="false" outlineLevel="0" collapsed="false">
      <c r="D712" s="68"/>
    </row>
    <row r="713" customFormat="false" ht="15" hidden="false" customHeight="false" outlineLevel="0" collapsed="false">
      <c r="D713" s="68"/>
    </row>
    <row r="714" customFormat="false" ht="15" hidden="false" customHeight="false" outlineLevel="0" collapsed="false">
      <c r="D714" s="68"/>
    </row>
    <row r="715" customFormat="false" ht="15" hidden="false" customHeight="false" outlineLevel="0" collapsed="false">
      <c r="D715" s="68"/>
    </row>
    <row r="716" customFormat="false" ht="15" hidden="false" customHeight="false" outlineLevel="0" collapsed="false">
      <c r="D716" s="68"/>
    </row>
    <row r="717" customFormat="false" ht="15" hidden="false" customHeight="false" outlineLevel="0" collapsed="false">
      <c r="D717" s="68"/>
    </row>
    <row r="718" customFormat="false" ht="15" hidden="false" customHeight="false" outlineLevel="0" collapsed="false">
      <c r="D718" s="68"/>
    </row>
    <row r="719" customFormat="false" ht="15" hidden="false" customHeight="false" outlineLevel="0" collapsed="false">
      <c r="D719" s="68"/>
    </row>
    <row r="720" customFormat="false" ht="15" hidden="false" customHeight="false" outlineLevel="0" collapsed="false">
      <c r="D720" s="68"/>
    </row>
    <row r="721" customFormat="false" ht="15" hidden="false" customHeight="false" outlineLevel="0" collapsed="false">
      <c r="D721" s="68"/>
    </row>
    <row r="722" customFormat="false" ht="15" hidden="false" customHeight="false" outlineLevel="0" collapsed="false">
      <c r="D722" s="68"/>
    </row>
    <row r="723" customFormat="false" ht="15" hidden="false" customHeight="false" outlineLevel="0" collapsed="false">
      <c r="D723" s="68"/>
    </row>
    <row r="724" customFormat="false" ht="15" hidden="false" customHeight="false" outlineLevel="0" collapsed="false">
      <c r="D724" s="68"/>
    </row>
    <row r="725" customFormat="false" ht="15" hidden="false" customHeight="false" outlineLevel="0" collapsed="false">
      <c r="D725" s="68"/>
    </row>
    <row r="726" customFormat="false" ht="15" hidden="false" customHeight="false" outlineLevel="0" collapsed="false">
      <c r="D726" s="68"/>
    </row>
    <row r="727" customFormat="false" ht="15" hidden="false" customHeight="false" outlineLevel="0" collapsed="false">
      <c r="D727" s="68"/>
    </row>
    <row r="728" customFormat="false" ht="15" hidden="false" customHeight="false" outlineLevel="0" collapsed="false">
      <c r="D728" s="68"/>
    </row>
    <row r="729" customFormat="false" ht="15" hidden="false" customHeight="false" outlineLevel="0" collapsed="false">
      <c r="D729" s="68"/>
    </row>
    <row r="730" customFormat="false" ht="15" hidden="false" customHeight="false" outlineLevel="0" collapsed="false">
      <c r="D730" s="68"/>
    </row>
    <row r="731" customFormat="false" ht="15" hidden="false" customHeight="false" outlineLevel="0" collapsed="false">
      <c r="D731" s="68"/>
    </row>
    <row r="732" customFormat="false" ht="15" hidden="false" customHeight="false" outlineLevel="0" collapsed="false">
      <c r="D732" s="68"/>
    </row>
    <row r="733" customFormat="false" ht="15" hidden="false" customHeight="false" outlineLevel="0" collapsed="false">
      <c r="D733" s="68"/>
    </row>
    <row r="734" customFormat="false" ht="15" hidden="false" customHeight="false" outlineLevel="0" collapsed="false">
      <c r="D734" s="68"/>
    </row>
    <row r="735" customFormat="false" ht="15" hidden="false" customHeight="false" outlineLevel="0" collapsed="false">
      <c r="D735" s="68"/>
    </row>
    <row r="736" customFormat="false" ht="15" hidden="false" customHeight="false" outlineLevel="0" collapsed="false">
      <c r="D736" s="68"/>
    </row>
    <row r="737" customFormat="false" ht="15" hidden="false" customHeight="false" outlineLevel="0" collapsed="false">
      <c r="D737" s="68"/>
    </row>
    <row r="738" customFormat="false" ht="15" hidden="false" customHeight="false" outlineLevel="0" collapsed="false">
      <c r="D738" s="68"/>
    </row>
    <row r="739" customFormat="false" ht="15" hidden="false" customHeight="false" outlineLevel="0" collapsed="false">
      <c r="D739" s="68"/>
    </row>
    <row r="740" customFormat="false" ht="15" hidden="false" customHeight="false" outlineLevel="0" collapsed="false">
      <c r="D740" s="68"/>
    </row>
    <row r="741" customFormat="false" ht="15" hidden="false" customHeight="false" outlineLevel="0" collapsed="false">
      <c r="D741" s="68"/>
    </row>
    <row r="742" customFormat="false" ht="15" hidden="false" customHeight="false" outlineLevel="0" collapsed="false">
      <c r="D742" s="68"/>
    </row>
    <row r="743" customFormat="false" ht="15" hidden="false" customHeight="false" outlineLevel="0" collapsed="false">
      <c r="D743" s="68"/>
    </row>
    <row r="744" customFormat="false" ht="15" hidden="false" customHeight="false" outlineLevel="0" collapsed="false">
      <c r="D744" s="68"/>
    </row>
    <row r="745" customFormat="false" ht="15" hidden="false" customHeight="false" outlineLevel="0" collapsed="false">
      <c r="D745" s="68"/>
    </row>
    <row r="746" customFormat="false" ht="15" hidden="false" customHeight="false" outlineLevel="0" collapsed="false">
      <c r="D746" s="68"/>
    </row>
    <row r="747" customFormat="false" ht="15" hidden="false" customHeight="false" outlineLevel="0" collapsed="false">
      <c r="D747" s="68"/>
    </row>
    <row r="748" customFormat="false" ht="15" hidden="false" customHeight="false" outlineLevel="0" collapsed="false">
      <c r="D748" s="68"/>
    </row>
    <row r="749" customFormat="false" ht="15" hidden="false" customHeight="false" outlineLevel="0" collapsed="false">
      <c r="D749" s="68"/>
    </row>
    <row r="750" customFormat="false" ht="15" hidden="false" customHeight="false" outlineLevel="0" collapsed="false">
      <c r="D750" s="68"/>
    </row>
    <row r="751" customFormat="false" ht="15" hidden="false" customHeight="false" outlineLevel="0" collapsed="false">
      <c r="D751" s="68"/>
    </row>
    <row r="752" customFormat="false" ht="15" hidden="false" customHeight="false" outlineLevel="0" collapsed="false">
      <c r="D752" s="68"/>
    </row>
    <row r="753" customFormat="false" ht="15" hidden="false" customHeight="false" outlineLevel="0" collapsed="false">
      <c r="D753" s="68"/>
    </row>
    <row r="754" customFormat="false" ht="15" hidden="false" customHeight="false" outlineLevel="0" collapsed="false">
      <c r="D754" s="68"/>
    </row>
    <row r="755" customFormat="false" ht="15" hidden="false" customHeight="false" outlineLevel="0" collapsed="false">
      <c r="D755" s="68"/>
    </row>
    <row r="756" customFormat="false" ht="15" hidden="false" customHeight="false" outlineLevel="0" collapsed="false">
      <c r="D756" s="68"/>
    </row>
    <row r="757" customFormat="false" ht="15" hidden="false" customHeight="false" outlineLevel="0" collapsed="false">
      <c r="D757" s="68"/>
    </row>
    <row r="758" customFormat="false" ht="15" hidden="false" customHeight="false" outlineLevel="0" collapsed="false">
      <c r="D758" s="68"/>
    </row>
    <row r="759" customFormat="false" ht="15" hidden="false" customHeight="false" outlineLevel="0" collapsed="false">
      <c r="D759" s="68"/>
    </row>
    <row r="760" customFormat="false" ht="15" hidden="false" customHeight="false" outlineLevel="0" collapsed="false">
      <c r="D760" s="68"/>
    </row>
    <row r="761" customFormat="false" ht="15" hidden="false" customHeight="false" outlineLevel="0" collapsed="false">
      <c r="D761" s="68"/>
    </row>
    <row r="762" customFormat="false" ht="15" hidden="false" customHeight="false" outlineLevel="0" collapsed="false">
      <c r="D762" s="68"/>
    </row>
    <row r="763" customFormat="false" ht="15" hidden="false" customHeight="false" outlineLevel="0" collapsed="false">
      <c r="D763" s="68"/>
    </row>
    <row r="764" customFormat="false" ht="15" hidden="false" customHeight="false" outlineLevel="0" collapsed="false">
      <c r="D764" s="68"/>
    </row>
    <row r="765" customFormat="false" ht="15" hidden="false" customHeight="false" outlineLevel="0" collapsed="false">
      <c r="D765" s="68"/>
    </row>
    <row r="766" customFormat="false" ht="15" hidden="false" customHeight="false" outlineLevel="0" collapsed="false">
      <c r="D766" s="68"/>
    </row>
    <row r="767" customFormat="false" ht="15" hidden="false" customHeight="false" outlineLevel="0" collapsed="false">
      <c r="D767" s="68"/>
    </row>
    <row r="768" customFormat="false" ht="15" hidden="false" customHeight="false" outlineLevel="0" collapsed="false">
      <c r="D768" s="68"/>
    </row>
    <row r="769" customFormat="false" ht="15" hidden="false" customHeight="false" outlineLevel="0" collapsed="false">
      <c r="D769" s="68"/>
    </row>
    <row r="770" customFormat="false" ht="15" hidden="false" customHeight="false" outlineLevel="0" collapsed="false">
      <c r="D770" s="68"/>
    </row>
    <row r="771" customFormat="false" ht="15" hidden="false" customHeight="false" outlineLevel="0" collapsed="false">
      <c r="D771" s="68"/>
    </row>
    <row r="772" customFormat="false" ht="15" hidden="false" customHeight="false" outlineLevel="0" collapsed="false">
      <c r="D772" s="68"/>
    </row>
    <row r="773" customFormat="false" ht="15" hidden="false" customHeight="false" outlineLevel="0" collapsed="false">
      <c r="D773" s="68"/>
    </row>
    <row r="774" customFormat="false" ht="15" hidden="false" customHeight="false" outlineLevel="0" collapsed="false">
      <c r="D774" s="68"/>
    </row>
    <row r="775" customFormat="false" ht="15" hidden="false" customHeight="false" outlineLevel="0" collapsed="false">
      <c r="D775" s="68"/>
    </row>
    <row r="776" customFormat="false" ht="15" hidden="false" customHeight="false" outlineLevel="0" collapsed="false">
      <c r="D776" s="68"/>
    </row>
    <row r="777" customFormat="false" ht="15" hidden="false" customHeight="false" outlineLevel="0" collapsed="false">
      <c r="D777" s="68"/>
    </row>
    <row r="778" customFormat="false" ht="15" hidden="false" customHeight="false" outlineLevel="0" collapsed="false">
      <c r="D778" s="68"/>
    </row>
    <row r="779" customFormat="false" ht="15" hidden="false" customHeight="false" outlineLevel="0" collapsed="false">
      <c r="D779" s="68"/>
    </row>
    <row r="780" customFormat="false" ht="15" hidden="false" customHeight="false" outlineLevel="0" collapsed="false">
      <c r="D780" s="68"/>
    </row>
    <row r="781" customFormat="false" ht="15" hidden="false" customHeight="false" outlineLevel="0" collapsed="false">
      <c r="D781" s="68"/>
    </row>
    <row r="782" customFormat="false" ht="15" hidden="false" customHeight="false" outlineLevel="0" collapsed="false">
      <c r="D782" s="68"/>
    </row>
    <row r="783" customFormat="false" ht="15" hidden="false" customHeight="false" outlineLevel="0" collapsed="false">
      <c r="D783" s="68"/>
    </row>
    <row r="784" customFormat="false" ht="15" hidden="false" customHeight="false" outlineLevel="0" collapsed="false">
      <c r="D784" s="68"/>
    </row>
    <row r="785" customFormat="false" ht="15" hidden="false" customHeight="false" outlineLevel="0" collapsed="false">
      <c r="D785" s="68"/>
    </row>
    <row r="786" customFormat="false" ht="15" hidden="false" customHeight="false" outlineLevel="0" collapsed="false">
      <c r="D786" s="68"/>
    </row>
    <row r="787" customFormat="false" ht="15" hidden="false" customHeight="false" outlineLevel="0" collapsed="false">
      <c r="D787" s="68"/>
    </row>
    <row r="788" customFormat="false" ht="15" hidden="false" customHeight="false" outlineLevel="0" collapsed="false">
      <c r="D788" s="68"/>
    </row>
    <row r="789" customFormat="false" ht="15" hidden="false" customHeight="false" outlineLevel="0" collapsed="false">
      <c r="D789" s="68"/>
    </row>
    <row r="790" customFormat="false" ht="15" hidden="false" customHeight="false" outlineLevel="0" collapsed="false">
      <c r="D790" s="68"/>
    </row>
    <row r="791" customFormat="false" ht="15" hidden="false" customHeight="false" outlineLevel="0" collapsed="false">
      <c r="D791" s="68"/>
    </row>
    <row r="792" customFormat="false" ht="15" hidden="false" customHeight="false" outlineLevel="0" collapsed="false">
      <c r="D792" s="68"/>
    </row>
    <row r="793" customFormat="false" ht="15" hidden="false" customHeight="false" outlineLevel="0" collapsed="false">
      <c r="D793" s="68"/>
    </row>
    <row r="794" customFormat="false" ht="15" hidden="false" customHeight="false" outlineLevel="0" collapsed="false">
      <c r="D794" s="68"/>
    </row>
    <row r="795" customFormat="false" ht="15" hidden="false" customHeight="false" outlineLevel="0" collapsed="false">
      <c r="D795" s="68"/>
    </row>
    <row r="796" customFormat="false" ht="15" hidden="false" customHeight="false" outlineLevel="0" collapsed="false">
      <c r="D796" s="68"/>
    </row>
    <row r="797" customFormat="false" ht="15" hidden="false" customHeight="false" outlineLevel="0" collapsed="false">
      <c r="D797" s="68"/>
    </row>
    <row r="798" customFormat="false" ht="15" hidden="false" customHeight="false" outlineLevel="0" collapsed="false">
      <c r="D798" s="68"/>
    </row>
    <row r="799" customFormat="false" ht="15" hidden="false" customHeight="false" outlineLevel="0" collapsed="false">
      <c r="D799" s="68"/>
    </row>
    <row r="800" customFormat="false" ht="15" hidden="false" customHeight="false" outlineLevel="0" collapsed="false">
      <c r="D800" s="68"/>
    </row>
    <row r="801" customFormat="false" ht="15" hidden="false" customHeight="false" outlineLevel="0" collapsed="false">
      <c r="D801" s="68"/>
    </row>
    <row r="802" customFormat="false" ht="15" hidden="false" customHeight="false" outlineLevel="0" collapsed="false">
      <c r="D802" s="68"/>
    </row>
    <row r="803" customFormat="false" ht="15" hidden="false" customHeight="false" outlineLevel="0" collapsed="false">
      <c r="D803" s="68"/>
    </row>
    <row r="804" customFormat="false" ht="15" hidden="false" customHeight="false" outlineLevel="0" collapsed="false">
      <c r="D804" s="68"/>
    </row>
    <row r="805" customFormat="false" ht="15" hidden="false" customHeight="false" outlineLevel="0" collapsed="false">
      <c r="D805" s="68"/>
    </row>
    <row r="806" customFormat="false" ht="15" hidden="false" customHeight="false" outlineLevel="0" collapsed="false">
      <c r="D806" s="68"/>
    </row>
    <row r="807" customFormat="false" ht="15" hidden="false" customHeight="false" outlineLevel="0" collapsed="false">
      <c r="D807" s="68"/>
    </row>
    <row r="808" customFormat="false" ht="15" hidden="false" customHeight="false" outlineLevel="0" collapsed="false">
      <c r="D808" s="68"/>
    </row>
    <row r="809" customFormat="false" ht="15" hidden="false" customHeight="false" outlineLevel="0" collapsed="false">
      <c r="D809" s="68"/>
    </row>
    <row r="810" customFormat="false" ht="15" hidden="false" customHeight="false" outlineLevel="0" collapsed="false">
      <c r="D810" s="68"/>
    </row>
    <row r="811" customFormat="false" ht="15" hidden="false" customHeight="false" outlineLevel="0" collapsed="false">
      <c r="D811" s="68"/>
    </row>
    <row r="812" customFormat="false" ht="15" hidden="false" customHeight="false" outlineLevel="0" collapsed="false">
      <c r="D812" s="68"/>
    </row>
    <row r="813" customFormat="false" ht="15" hidden="false" customHeight="false" outlineLevel="0" collapsed="false">
      <c r="D813" s="68"/>
    </row>
    <row r="814" customFormat="false" ht="15" hidden="false" customHeight="false" outlineLevel="0" collapsed="false">
      <c r="D814" s="68"/>
    </row>
    <row r="815" customFormat="false" ht="15" hidden="false" customHeight="false" outlineLevel="0" collapsed="false">
      <c r="D815" s="68"/>
    </row>
    <row r="816" customFormat="false" ht="15" hidden="false" customHeight="false" outlineLevel="0" collapsed="false">
      <c r="D816" s="68"/>
    </row>
    <row r="817" customFormat="false" ht="15" hidden="false" customHeight="false" outlineLevel="0" collapsed="false">
      <c r="D817" s="68"/>
    </row>
    <row r="818" customFormat="false" ht="15" hidden="false" customHeight="false" outlineLevel="0" collapsed="false">
      <c r="D818" s="68"/>
    </row>
    <row r="819" customFormat="false" ht="15" hidden="false" customHeight="false" outlineLevel="0" collapsed="false">
      <c r="D819" s="68"/>
    </row>
    <row r="820" customFormat="false" ht="15" hidden="false" customHeight="false" outlineLevel="0" collapsed="false">
      <c r="D820" s="68"/>
    </row>
    <row r="821" customFormat="false" ht="15" hidden="false" customHeight="false" outlineLevel="0" collapsed="false">
      <c r="D821" s="68"/>
    </row>
    <row r="822" customFormat="false" ht="15" hidden="false" customHeight="false" outlineLevel="0" collapsed="false">
      <c r="D822" s="68"/>
    </row>
    <row r="823" customFormat="false" ht="15" hidden="false" customHeight="false" outlineLevel="0" collapsed="false">
      <c r="D823" s="68"/>
    </row>
    <row r="824" customFormat="false" ht="15" hidden="false" customHeight="false" outlineLevel="0" collapsed="false">
      <c r="D824" s="68"/>
    </row>
    <row r="825" customFormat="false" ht="15" hidden="false" customHeight="false" outlineLevel="0" collapsed="false">
      <c r="D825" s="68"/>
    </row>
    <row r="826" customFormat="false" ht="15" hidden="false" customHeight="false" outlineLevel="0" collapsed="false">
      <c r="D826" s="68"/>
    </row>
    <row r="827" customFormat="false" ht="15" hidden="false" customHeight="false" outlineLevel="0" collapsed="false">
      <c r="D827" s="68"/>
    </row>
    <row r="828" customFormat="false" ht="15" hidden="false" customHeight="false" outlineLevel="0" collapsed="false">
      <c r="D828" s="68"/>
    </row>
    <row r="829" customFormat="false" ht="15" hidden="false" customHeight="false" outlineLevel="0" collapsed="false">
      <c r="D829" s="68"/>
    </row>
    <row r="830" customFormat="false" ht="15" hidden="false" customHeight="false" outlineLevel="0" collapsed="false">
      <c r="D830" s="68"/>
    </row>
    <row r="831" customFormat="false" ht="15" hidden="false" customHeight="false" outlineLevel="0" collapsed="false">
      <c r="D831" s="68"/>
    </row>
    <row r="832" customFormat="false" ht="15" hidden="false" customHeight="false" outlineLevel="0" collapsed="false">
      <c r="D832" s="68"/>
    </row>
    <row r="833" customFormat="false" ht="15" hidden="false" customHeight="false" outlineLevel="0" collapsed="false">
      <c r="D833" s="68"/>
    </row>
    <row r="834" customFormat="false" ht="15" hidden="false" customHeight="false" outlineLevel="0" collapsed="false">
      <c r="D834" s="68"/>
    </row>
    <row r="835" customFormat="false" ht="15" hidden="false" customHeight="false" outlineLevel="0" collapsed="false">
      <c r="D835" s="68"/>
    </row>
    <row r="836" customFormat="false" ht="15" hidden="false" customHeight="false" outlineLevel="0" collapsed="false">
      <c r="D836" s="68"/>
    </row>
    <row r="837" customFormat="false" ht="15" hidden="false" customHeight="false" outlineLevel="0" collapsed="false">
      <c r="D837" s="68"/>
    </row>
    <row r="838" customFormat="false" ht="15" hidden="false" customHeight="false" outlineLevel="0" collapsed="false">
      <c r="D838" s="68"/>
    </row>
    <row r="839" customFormat="false" ht="15" hidden="false" customHeight="false" outlineLevel="0" collapsed="false">
      <c r="D839" s="68"/>
    </row>
    <row r="840" customFormat="false" ht="15" hidden="false" customHeight="false" outlineLevel="0" collapsed="false">
      <c r="D840" s="68"/>
    </row>
    <row r="841" customFormat="false" ht="15" hidden="false" customHeight="false" outlineLevel="0" collapsed="false">
      <c r="D841" s="68"/>
    </row>
    <row r="842" customFormat="false" ht="15" hidden="false" customHeight="false" outlineLevel="0" collapsed="false">
      <c r="D842" s="68"/>
    </row>
    <row r="843" customFormat="false" ht="15" hidden="false" customHeight="false" outlineLevel="0" collapsed="false">
      <c r="D843" s="68"/>
    </row>
    <row r="844" customFormat="false" ht="15" hidden="false" customHeight="false" outlineLevel="0" collapsed="false">
      <c r="D844" s="68"/>
    </row>
    <row r="845" customFormat="false" ht="15" hidden="false" customHeight="false" outlineLevel="0" collapsed="false">
      <c r="D845" s="68"/>
    </row>
    <row r="846" customFormat="false" ht="15" hidden="false" customHeight="false" outlineLevel="0" collapsed="false">
      <c r="D846" s="68"/>
    </row>
    <row r="847" customFormat="false" ht="15" hidden="false" customHeight="false" outlineLevel="0" collapsed="false">
      <c r="D847" s="68"/>
    </row>
    <row r="848" customFormat="false" ht="15" hidden="false" customHeight="false" outlineLevel="0" collapsed="false">
      <c r="D848" s="68"/>
    </row>
    <row r="849" customFormat="false" ht="15" hidden="false" customHeight="false" outlineLevel="0" collapsed="false">
      <c r="D849" s="68"/>
    </row>
    <row r="850" customFormat="false" ht="15" hidden="false" customHeight="false" outlineLevel="0" collapsed="false">
      <c r="D850" s="68"/>
    </row>
    <row r="851" customFormat="false" ht="15" hidden="false" customHeight="false" outlineLevel="0" collapsed="false">
      <c r="D851" s="68"/>
    </row>
    <row r="852" customFormat="false" ht="15" hidden="false" customHeight="false" outlineLevel="0" collapsed="false">
      <c r="D852" s="68"/>
    </row>
    <row r="853" customFormat="false" ht="15" hidden="false" customHeight="false" outlineLevel="0" collapsed="false">
      <c r="D853" s="68"/>
    </row>
    <row r="854" customFormat="false" ht="15" hidden="false" customHeight="false" outlineLevel="0" collapsed="false">
      <c r="D854" s="68"/>
    </row>
    <row r="855" customFormat="false" ht="15" hidden="false" customHeight="false" outlineLevel="0" collapsed="false">
      <c r="D855" s="68"/>
    </row>
    <row r="856" customFormat="false" ht="15" hidden="false" customHeight="false" outlineLevel="0" collapsed="false">
      <c r="D856" s="68"/>
    </row>
    <row r="857" customFormat="false" ht="15" hidden="false" customHeight="false" outlineLevel="0" collapsed="false">
      <c r="D857" s="68"/>
    </row>
    <row r="858" customFormat="false" ht="15" hidden="false" customHeight="false" outlineLevel="0" collapsed="false">
      <c r="D858" s="68"/>
    </row>
    <row r="859" customFormat="false" ht="15" hidden="false" customHeight="false" outlineLevel="0" collapsed="false">
      <c r="D859" s="68"/>
    </row>
    <row r="860" customFormat="false" ht="15" hidden="false" customHeight="false" outlineLevel="0" collapsed="false">
      <c r="D860" s="68"/>
    </row>
    <row r="861" customFormat="false" ht="15" hidden="false" customHeight="false" outlineLevel="0" collapsed="false">
      <c r="D861" s="68"/>
    </row>
    <row r="862" customFormat="false" ht="15" hidden="false" customHeight="false" outlineLevel="0" collapsed="false">
      <c r="D862" s="68"/>
    </row>
    <row r="863" customFormat="false" ht="15" hidden="false" customHeight="false" outlineLevel="0" collapsed="false">
      <c r="D863" s="68"/>
    </row>
    <row r="864" customFormat="false" ht="15" hidden="false" customHeight="false" outlineLevel="0" collapsed="false">
      <c r="D864" s="68"/>
    </row>
    <row r="865" customFormat="false" ht="15" hidden="false" customHeight="false" outlineLevel="0" collapsed="false">
      <c r="D865" s="68"/>
    </row>
    <row r="866" customFormat="false" ht="15" hidden="false" customHeight="false" outlineLevel="0" collapsed="false">
      <c r="D866" s="68"/>
    </row>
    <row r="867" customFormat="false" ht="15" hidden="false" customHeight="false" outlineLevel="0" collapsed="false">
      <c r="D867" s="68"/>
    </row>
    <row r="868" customFormat="false" ht="15" hidden="false" customHeight="false" outlineLevel="0" collapsed="false">
      <c r="D868" s="68"/>
    </row>
    <row r="869" customFormat="false" ht="15" hidden="false" customHeight="false" outlineLevel="0" collapsed="false">
      <c r="D869" s="68"/>
    </row>
    <row r="870" customFormat="false" ht="15" hidden="false" customHeight="false" outlineLevel="0" collapsed="false">
      <c r="D870" s="68"/>
    </row>
    <row r="871" customFormat="false" ht="15" hidden="false" customHeight="false" outlineLevel="0" collapsed="false">
      <c r="D871" s="68"/>
    </row>
    <row r="872" customFormat="false" ht="15" hidden="false" customHeight="false" outlineLevel="0" collapsed="false">
      <c r="D872" s="68"/>
    </row>
    <row r="873" customFormat="false" ht="15" hidden="false" customHeight="false" outlineLevel="0" collapsed="false">
      <c r="D873" s="68"/>
    </row>
    <row r="874" customFormat="false" ht="15" hidden="false" customHeight="false" outlineLevel="0" collapsed="false">
      <c r="D874" s="68"/>
    </row>
    <row r="875" customFormat="false" ht="15" hidden="false" customHeight="false" outlineLevel="0" collapsed="false">
      <c r="D875" s="68"/>
    </row>
    <row r="876" customFormat="false" ht="15" hidden="false" customHeight="false" outlineLevel="0" collapsed="false">
      <c r="D876" s="68"/>
    </row>
    <row r="877" customFormat="false" ht="15" hidden="false" customHeight="false" outlineLevel="0" collapsed="false">
      <c r="D877" s="68"/>
    </row>
    <row r="878" customFormat="false" ht="15" hidden="false" customHeight="false" outlineLevel="0" collapsed="false">
      <c r="D878" s="68"/>
    </row>
    <row r="879" customFormat="false" ht="15" hidden="false" customHeight="false" outlineLevel="0" collapsed="false">
      <c r="D879" s="68"/>
    </row>
    <row r="880" customFormat="false" ht="15" hidden="false" customHeight="false" outlineLevel="0" collapsed="false">
      <c r="D880" s="68"/>
    </row>
    <row r="881" customFormat="false" ht="15" hidden="false" customHeight="false" outlineLevel="0" collapsed="false">
      <c r="D881" s="68"/>
    </row>
    <row r="882" customFormat="false" ht="15" hidden="false" customHeight="false" outlineLevel="0" collapsed="false">
      <c r="D882" s="68"/>
    </row>
    <row r="883" customFormat="false" ht="15" hidden="false" customHeight="false" outlineLevel="0" collapsed="false">
      <c r="D883" s="68"/>
    </row>
    <row r="884" customFormat="false" ht="15" hidden="false" customHeight="false" outlineLevel="0" collapsed="false">
      <c r="D884" s="68"/>
    </row>
    <row r="885" customFormat="false" ht="15" hidden="false" customHeight="false" outlineLevel="0" collapsed="false">
      <c r="D885" s="68"/>
    </row>
    <row r="886" customFormat="false" ht="15" hidden="false" customHeight="false" outlineLevel="0" collapsed="false">
      <c r="D886" s="68"/>
    </row>
    <row r="887" customFormat="false" ht="15" hidden="false" customHeight="false" outlineLevel="0" collapsed="false">
      <c r="D887" s="68"/>
    </row>
    <row r="888" customFormat="false" ht="15" hidden="false" customHeight="false" outlineLevel="0" collapsed="false">
      <c r="D888" s="68"/>
    </row>
    <row r="889" customFormat="false" ht="15" hidden="false" customHeight="false" outlineLevel="0" collapsed="false">
      <c r="D889" s="68"/>
    </row>
    <row r="890" customFormat="false" ht="15" hidden="false" customHeight="false" outlineLevel="0" collapsed="false">
      <c r="D890" s="68"/>
    </row>
    <row r="891" customFormat="false" ht="15" hidden="false" customHeight="false" outlineLevel="0" collapsed="false">
      <c r="D891" s="68"/>
    </row>
    <row r="892" customFormat="false" ht="15" hidden="false" customHeight="false" outlineLevel="0" collapsed="false">
      <c r="D892" s="68"/>
    </row>
    <row r="893" customFormat="false" ht="15" hidden="false" customHeight="false" outlineLevel="0" collapsed="false">
      <c r="D893" s="68"/>
    </row>
    <row r="894" customFormat="false" ht="15" hidden="false" customHeight="false" outlineLevel="0" collapsed="false">
      <c r="D894" s="68"/>
    </row>
    <row r="895" customFormat="false" ht="15" hidden="false" customHeight="false" outlineLevel="0" collapsed="false">
      <c r="D895" s="68"/>
    </row>
    <row r="896" customFormat="false" ht="15" hidden="false" customHeight="false" outlineLevel="0" collapsed="false">
      <c r="D896" s="68"/>
    </row>
    <row r="897" customFormat="false" ht="15" hidden="false" customHeight="false" outlineLevel="0" collapsed="false">
      <c r="D897" s="68"/>
    </row>
    <row r="898" customFormat="false" ht="15" hidden="false" customHeight="false" outlineLevel="0" collapsed="false">
      <c r="D898" s="68"/>
    </row>
    <row r="899" customFormat="false" ht="15" hidden="false" customHeight="false" outlineLevel="0" collapsed="false">
      <c r="D899" s="68"/>
    </row>
    <row r="900" customFormat="false" ht="15" hidden="false" customHeight="false" outlineLevel="0" collapsed="false">
      <c r="D900" s="68"/>
    </row>
    <row r="901" customFormat="false" ht="15" hidden="false" customHeight="false" outlineLevel="0" collapsed="false">
      <c r="D901" s="68"/>
    </row>
    <row r="902" customFormat="false" ht="15" hidden="false" customHeight="false" outlineLevel="0" collapsed="false">
      <c r="D902" s="68"/>
    </row>
    <row r="903" customFormat="false" ht="15" hidden="false" customHeight="false" outlineLevel="0" collapsed="false">
      <c r="D903" s="68"/>
    </row>
    <row r="904" customFormat="false" ht="15" hidden="false" customHeight="false" outlineLevel="0" collapsed="false">
      <c r="D904" s="68"/>
    </row>
    <row r="905" customFormat="false" ht="15" hidden="false" customHeight="false" outlineLevel="0" collapsed="false">
      <c r="D905" s="68"/>
    </row>
    <row r="906" customFormat="false" ht="15" hidden="false" customHeight="false" outlineLevel="0" collapsed="false">
      <c r="D906" s="68"/>
    </row>
    <row r="907" customFormat="false" ht="15" hidden="false" customHeight="false" outlineLevel="0" collapsed="false">
      <c r="D907" s="68"/>
    </row>
    <row r="908" customFormat="false" ht="15" hidden="false" customHeight="false" outlineLevel="0" collapsed="false">
      <c r="D908" s="68"/>
    </row>
    <row r="909" customFormat="false" ht="15" hidden="false" customHeight="false" outlineLevel="0" collapsed="false">
      <c r="D909" s="68"/>
    </row>
    <row r="910" customFormat="false" ht="15" hidden="false" customHeight="false" outlineLevel="0" collapsed="false">
      <c r="D910" s="68"/>
    </row>
    <row r="911" customFormat="false" ht="15" hidden="false" customHeight="false" outlineLevel="0" collapsed="false">
      <c r="D911" s="68"/>
    </row>
    <row r="912" customFormat="false" ht="15" hidden="false" customHeight="false" outlineLevel="0" collapsed="false">
      <c r="D912" s="68"/>
    </row>
    <row r="913" customFormat="false" ht="15" hidden="false" customHeight="false" outlineLevel="0" collapsed="false">
      <c r="D913" s="68"/>
    </row>
    <row r="914" customFormat="false" ht="15" hidden="false" customHeight="false" outlineLevel="0" collapsed="false">
      <c r="D914" s="68"/>
    </row>
    <row r="915" customFormat="false" ht="15" hidden="false" customHeight="false" outlineLevel="0" collapsed="false">
      <c r="D915" s="68"/>
    </row>
    <row r="916" customFormat="false" ht="15" hidden="false" customHeight="false" outlineLevel="0" collapsed="false">
      <c r="D916" s="68"/>
    </row>
    <row r="917" customFormat="false" ht="15" hidden="false" customHeight="false" outlineLevel="0" collapsed="false">
      <c r="D917" s="68"/>
    </row>
    <row r="918" customFormat="false" ht="15" hidden="false" customHeight="false" outlineLevel="0" collapsed="false">
      <c r="D918" s="68"/>
    </row>
    <row r="919" customFormat="false" ht="15" hidden="false" customHeight="false" outlineLevel="0" collapsed="false">
      <c r="D919" s="68"/>
    </row>
    <row r="920" customFormat="false" ht="15" hidden="false" customHeight="false" outlineLevel="0" collapsed="false">
      <c r="D920" s="68"/>
    </row>
    <row r="921" customFormat="false" ht="15" hidden="false" customHeight="false" outlineLevel="0" collapsed="false">
      <c r="D921" s="68"/>
    </row>
    <row r="922" customFormat="false" ht="15" hidden="false" customHeight="false" outlineLevel="0" collapsed="false">
      <c r="D922" s="68"/>
    </row>
    <row r="923" customFormat="false" ht="15" hidden="false" customHeight="false" outlineLevel="0" collapsed="false">
      <c r="D923" s="68"/>
    </row>
    <row r="924" customFormat="false" ht="15" hidden="false" customHeight="false" outlineLevel="0" collapsed="false">
      <c r="D924" s="68"/>
    </row>
    <row r="925" customFormat="false" ht="15" hidden="false" customHeight="false" outlineLevel="0" collapsed="false">
      <c r="D925" s="68"/>
    </row>
    <row r="926" customFormat="false" ht="15" hidden="false" customHeight="false" outlineLevel="0" collapsed="false">
      <c r="D926" s="68"/>
    </row>
    <row r="927" customFormat="false" ht="15" hidden="false" customHeight="false" outlineLevel="0" collapsed="false">
      <c r="D927" s="68"/>
    </row>
    <row r="928" customFormat="false" ht="15" hidden="false" customHeight="false" outlineLevel="0" collapsed="false">
      <c r="D928" s="68"/>
    </row>
    <row r="929" customFormat="false" ht="15" hidden="false" customHeight="false" outlineLevel="0" collapsed="false">
      <c r="D929" s="68"/>
    </row>
    <row r="930" customFormat="false" ht="15" hidden="false" customHeight="false" outlineLevel="0" collapsed="false">
      <c r="D930" s="68"/>
    </row>
    <row r="931" customFormat="false" ht="15" hidden="false" customHeight="false" outlineLevel="0" collapsed="false">
      <c r="D931" s="68"/>
    </row>
    <row r="932" customFormat="false" ht="15" hidden="false" customHeight="false" outlineLevel="0" collapsed="false">
      <c r="D932" s="68"/>
    </row>
    <row r="933" customFormat="false" ht="15" hidden="false" customHeight="false" outlineLevel="0" collapsed="false">
      <c r="D933" s="68"/>
    </row>
    <row r="934" customFormat="false" ht="15" hidden="false" customHeight="false" outlineLevel="0" collapsed="false">
      <c r="D934" s="68"/>
    </row>
    <row r="935" customFormat="false" ht="15" hidden="false" customHeight="false" outlineLevel="0" collapsed="false">
      <c r="D935" s="68"/>
    </row>
    <row r="936" customFormat="false" ht="15" hidden="false" customHeight="false" outlineLevel="0" collapsed="false">
      <c r="D936" s="68"/>
    </row>
    <row r="937" customFormat="false" ht="15" hidden="false" customHeight="false" outlineLevel="0" collapsed="false">
      <c r="D937" s="68"/>
    </row>
    <row r="938" customFormat="false" ht="15" hidden="false" customHeight="false" outlineLevel="0" collapsed="false">
      <c r="D938" s="68"/>
    </row>
    <row r="939" customFormat="false" ht="15" hidden="false" customHeight="false" outlineLevel="0" collapsed="false">
      <c r="D939" s="68"/>
    </row>
    <row r="940" customFormat="false" ht="15" hidden="false" customHeight="false" outlineLevel="0" collapsed="false">
      <c r="D940" s="68"/>
    </row>
    <row r="941" customFormat="false" ht="15" hidden="false" customHeight="false" outlineLevel="0" collapsed="false">
      <c r="D941" s="68"/>
    </row>
    <row r="942" customFormat="false" ht="15" hidden="false" customHeight="false" outlineLevel="0" collapsed="false">
      <c r="D942" s="68"/>
    </row>
    <row r="943" customFormat="false" ht="15" hidden="false" customHeight="false" outlineLevel="0" collapsed="false">
      <c r="D943" s="68"/>
    </row>
    <row r="944" customFormat="false" ht="15" hidden="false" customHeight="false" outlineLevel="0" collapsed="false">
      <c r="D944" s="68"/>
    </row>
    <row r="945" customFormat="false" ht="15" hidden="false" customHeight="false" outlineLevel="0" collapsed="false">
      <c r="D945" s="68"/>
    </row>
    <row r="946" customFormat="false" ht="15" hidden="false" customHeight="false" outlineLevel="0" collapsed="false">
      <c r="D946" s="68"/>
    </row>
    <row r="947" customFormat="false" ht="15" hidden="false" customHeight="false" outlineLevel="0" collapsed="false">
      <c r="D947" s="68"/>
    </row>
    <row r="948" customFormat="false" ht="15" hidden="false" customHeight="false" outlineLevel="0" collapsed="false">
      <c r="D948" s="68"/>
    </row>
    <row r="949" customFormat="false" ht="15" hidden="false" customHeight="false" outlineLevel="0" collapsed="false">
      <c r="D949" s="68"/>
    </row>
    <row r="950" customFormat="false" ht="15" hidden="false" customHeight="false" outlineLevel="0" collapsed="false">
      <c r="D950" s="68"/>
    </row>
    <row r="951" customFormat="false" ht="15" hidden="false" customHeight="false" outlineLevel="0" collapsed="false">
      <c r="D951" s="68"/>
    </row>
    <row r="952" customFormat="false" ht="15" hidden="false" customHeight="false" outlineLevel="0" collapsed="false">
      <c r="D952" s="68"/>
    </row>
    <row r="953" customFormat="false" ht="15" hidden="false" customHeight="false" outlineLevel="0" collapsed="false">
      <c r="D953" s="68"/>
    </row>
    <row r="954" customFormat="false" ht="15" hidden="false" customHeight="false" outlineLevel="0" collapsed="false">
      <c r="D954" s="68"/>
    </row>
    <row r="955" customFormat="false" ht="15" hidden="false" customHeight="false" outlineLevel="0" collapsed="false">
      <c r="D955" s="68"/>
    </row>
    <row r="956" customFormat="false" ht="15" hidden="false" customHeight="false" outlineLevel="0" collapsed="false">
      <c r="D956" s="68"/>
    </row>
    <row r="957" customFormat="false" ht="15" hidden="false" customHeight="false" outlineLevel="0" collapsed="false">
      <c r="D957" s="68"/>
    </row>
    <row r="958" customFormat="false" ht="15" hidden="false" customHeight="false" outlineLevel="0" collapsed="false">
      <c r="D958" s="68"/>
    </row>
    <row r="959" customFormat="false" ht="15" hidden="false" customHeight="false" outlineLevel="0" collapsed="false">
      <c r="D959" s="68"/>
    </row>
    <row r="960" customFormat="false" ht="15" hidden="false" customHeight="false" outlineLevel="0" collapsed="false">
      <c r="D960" s="68"/>
    </row>
    <row r="961" customFormat="false" ht="15" hidden="false" customHeight="false" outlineLevel="0" collapsed="false">
      <c r="D961" s="68"/>
    </row>
    <row r="962" customFormat="false" ht="15" hidden="false" customHeight="false" outlineLevel="0" collapsed="false">
      <c r="D962" s="68"/>
    </row>
    <row r="963" customFormat="false" ht="15" hidden="false" customHeight="false" outlineLevel="0" collapsed="false">
      <c r="D963" s="68"/>
    </row>
    <row r="964" customFormat="false" ht="15" hidden="false" customHeight="false" outlineLevel="0" collapsed="false">
      <c r="D964" s="68"/>
    </row>
    <row r="965" customFormat="false" ht="15" hidden="false" customHeight="false" outlineLevel="0" collapsed="false">
      <c r="D965" s="68"/>
    </row>
    <row r="966" customFormat="false" ht="15" hidden="false" customHeight="false" outlineLevel="0" collapsed="false">
      <c r="D966" s="68"/>
    </row>
    <row r="967" customFormat="false" ht="15" hidden="false" customHeight="false" outlineLevel="0" collapsed="false">
      <c r="D967" s="68"/>
    </row>
    <row r="968" customFormat="false" ht="15" hidden="false" customHeight="false" outlineLevel="0" collapsed="false">
      <c r="D968" s="68"/>
    </row>
    <row r="969" customFormat="false" ht="15" hidden="false" customHeight="false" outlineLevel="0" collapsed="false">
      <c r="D969" s="68"/>
    </row>
    <row r="970" customFormat="false" ht="15" hidden="false" customHeight="false" outlineLevel="0" collapsed="false">
      <c r="D970" s="68"/>
    </row>
    <row r="971" customFormat="false" ht="15" hidden="false" customHeight="false" outlineLevel="0" collapsed="false">
      <c r="D971" s="68"/>
    </row>
    <row r="972" customFormat="false" ht="15" hidden="false" customHeight="false" outlineLevel="0" collapsed="false">
      <c r="D972" s="68"/>
    </row>
    <row r="973" customFormat="false" ht="15" hidden="false" customHeight="false" outlineLevel="0" collapsed="false">
      <c r="D973" s="68"/>
    </row>
    <row r="974" customFormat="false" ht="15" hidden="false" customHeight="false" outlineLevel="0" collapsed="false">
      <c r="D974" s="68"/>
    </row>
    <row r="975" customFormat="false" ht="15" hidden="false" customHeight="false" outlineLevel="0" collapsed="false">
      <c r="D975" s="68"/>
    </row>
    <row r="976" customFormat="false" ht="15" hidden="false" customHeight="false" outlineLevel="0" collapsed="false">
      <c r="D976" s="68"/>
    </row>
    <row r="977" customFormat="false" ht="15" hidden="false" customHeight="false" outlineLevel="0" collapsed="false">
      <c r="D977" s="68"/>
    </row>
    <row r="978" customFormat="false" ht="15" hidden="false" customHeight="false" outlineLevel="0" collapsed="false">
      <c r="D978" s="68"/>
    </row>
    <row r="979" customFormat="false" ht="15" hidden="false" customHeight="false" outlineLevel="0" collapsed="false">
      <c r="D979" s="68"/>
    </row>
    <row r="980" customFormat="false" ht="15" hidden="false" customHeight="false" outlineLevel="0" collapsed="false">
      <c r="D980" s="68"/>
    </row>
    <row r="981" customFormat="false" ht="15" hidden="false" customHeight="false" outlineLevel="0" collapsed="false">
      <c r="D981" s="68"/>
    </row>
    <row r="982" customFormat="false" ht="15" hidden="false" customHeight="false" outlineLevel="0" collapsed="false">
      <c r="D982" s="68"/>
    </row>
    <row r="983" customFormat="false" ht="15" hidden="false" customHeight="false" outlineLevel="0" collapsed="false">
      <c r="D983" s="68"/>
    </row>
    <row r="984" customFormat="false" ht="15" hidden="false" customHeight="false" outlineLevel="0" collapsed="false">
      <c r="D984" s="68"/>
    </row>
    <row r="985" customFormat="false" ht="15" hidden="false" customHeight="false" outlineLevel="0" collapsed="false">
      <c r="D985" s="68"/>
    </row>
    <row r="986" customFormat="false" ht="15" hidden="false" customHeight="false" outlineLevel="0" collapsed="false">
      <c r="D986" s="68"/>
    </row>
    <row r="987" customFormat="false" ht="15" hidden="false" customHeight="false" outlineLevel="0" collapsed="false">
      <c r="D987" s="68"/>
    </row>
    <row r="988" customFormat="false" ht="15" hidden="false" customHeight="false" outlineLevel="0" collapsed="false">
      <c r="D988" s="68"/>
    </row>
    <row r="989" customFormat="false" ht="15" hidden="false" customHeight="false" outlineLevel="0" collapsed="false">
      <c r="D989" s="68"/>
    </row>
    <row r="990" customFormat="false" ht="15" hidden="false" customHeight="false" outlineLevel="0" collapsed="false">
      <c r="D990" s="68"/>
    </row>
    <row r="991" customFormat="false" ht="15" hidden="false" customHeight="false" outlineLevel="0" collapsed="false">
      <c r="D991" s="68"/>
    </row>
    <row r="992" customFormat="false" ht="15" hidden="false" customHeight="false" outlineLevel="0" collapsed="false">
      <c r="D992" s="68"/>
    </row>
    <row r="993" customFormat="false" ht="15" hidden="false" customHeight="false" outlineLevel="0" collapsed="false">
      <c r="D993" s="68"/>
    </row>
    <row r="994" customFormat="false" ht="15" hidden="false" customHeight="false" outlineLevel="0" collapsed="false">
      <c r="D994" s="68"/>
    </row>
    <row r="995" customFormat="false" ht="15" hidden="false" customHeight="false" outlineLevel="0" collapsed="false">
      <c r="D995" s="68"/>
    </row>
    <row r="996" customFormat="false" ht="15" hidden="false" customHeight="false" outlineLevel="0" collapsed="false">
      <c r="D996" s="68"/>
    </row>
    <row r="997" customFormat="false" ht="15" hidden="false" customHeight="false" outlineLevel="0" collapsed="false">
      <c r="D997" s="68"/>
    </row>
    <row r="998" customFormat="false" ht="15" hidden="false" customHeight="false" outlineLevel="0" collapsed="false">
      <c r="D998" s="68"/>
    </row>
    <row r="999" customFormat="false" ht="15" hidden="false" customHeight="false" outlineLevel="0" collapsed="false">
      <c r="D999" s="68"/>
    </row>
    <row r="1000" customFormat="false" ht="15" hidden="false" customHeight="false" outlineLevel="0" collapsed="false">
      <c r="D1000" s="68"/>
    </row>
    <row r="1001" customFormat="false" ht="15" hidden="false" customHeight="false" outlineLevel="0" collapsed="false">
      <c r="D1001" s="68"/>
    </row>
    <row r="1002" customFormat="false" ht="15" hidden="false" customHeight="false" outlineLevel="0" collapsed="false">
      <c r="D1002" s="68"/>
    </row>
    <row r="1003" customFormat="false" ht="15" hidden="false" customHeight="false" outlineLevel="0" collapsed="false">
      <c r="D1003" s="68"/>
    </row>
    <row r="1004" customFormat="false" ht="15" hidden="false" customHeight="false" outlineLevel="0" collapsed="false">
      <c r="D1004" s="68"/>
    </row>
    <row r="1005" customFormat="false" ht="15" hidden="false" customHeight="false" outlineLevel="0" collapsed="false">
      <c r="D1005" s="68"/>
    </row>
    <row r="1006" customFormat="false" ht="15" hidden="false" customHeight="false" outlineLevel="0" collapsed="false">
      <c r="D1006" s="68"/>
    </row>
    <row r="1007" customFormat="false" ht="15" hidden="false" customHeight="false" outlineLevel="0" collapsed="false">
      <c r="D1007" s="68"/>
    </row>
  </sheetData>
  <mergeCells count="2">
    <mergeCell ref="B25:B31"/>
    <mergeCell ref="B34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2026-09-26T07:09:24Z</dcterms:created>
  <dc:creator>openpyxl</dc:creator>
  <dc:description/>
  <dc:language>en-US</dc:language>
  <cp:lastModifiedBy/>
  <dcterms:modified xsi:type="dcterms:W3CDTF">2026-09-26T07:09:24Z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