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Farm Plan" sheetId="3" state="visible" r:id="rId5"/>
    <sheet name="Crop Rotation" sheetId="4" state="visible" r:id="rId6"/>
    <sheet name="Fruit Selection" sheetId="5" state="visible" r:id="rId7"/>
    <sheet name="Operations &amp; Capacity" sheetId="6" state="visible" r:id="rId8"/>
    <sheet name="Packhouse Capex" sheetId="7" state="visible" r:id="rId9"/>
    <sheet name="Packhouse Opex" sheetId="8" state="visible" r:id="rId10"/>
    <sheet name="Unit Economics" sheetId="9" state="visible" r:id="rId11"/>
    <sheet name="Waste Valorisation" sheetId="10" state="visible" r:id="rId12"/>
    <sheet name="Annual P&amp;L" sheetId="11" state="visible" r:id="rId13"/>
    <sheet name="Plan vs Model" sheetId="12" state="visible" r:id="rId14"/>
    <sheet name="Location &amp; Risks" sheetId="13" state="visible" r:id="rId15"/>
    <sheet name="Sources" sheetId="14" state="visible" r:id="rId16"/>
    <sheet name="Original Draf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<sst xmlns="http://schemas.openxmlformats.org/spreadsheetml/2006/main" count="1664" uniqueCount="1168">
  <si>
    <t xml:space="preserve">Sitpur Banana + Multi-fruit Packhouse, Pre-cooling &amp; Cold Storage – Unit Economics</t>
  </si>
  <si>
    <t xml:space="preserve">Farm: Sitpur Estate, Dabhoi, 150 acres (owner plan). Packhouse fruits: banana (own) + papaya + Kesar mango (procured). Prices &amp; costs researched Sep-2026. All live formulas.</t>
  </si>
  <si>
    <t xml:space="preserve">Running days &amp; capacity (change on Inputs)</t>
  </si>
  <si>
    <t xml:space="preserve">Packhouse</t>
  </si>
  <si>
    <t xml:space="preserve">Pre-cooling</t>
  </si>
  <si>
    <t xml:space="preserve">Cold storage</t>
  </si>
  <si>
    <t xml:space="preserve">Running days per year</t>
  </si>
  <si>
    <t xml:space="preserve">Estimates – edit on Inputs</t>
  </si>
  <si>
    <t xml:space="preserve">Utilisation</t>
  </si>
  <si>
    <t xml:space="preserve">Banana line / pre-cooling / cold-store peak</t>
  </si>
  <si>
    <t xml:space="preserve">Opex per year (₹)</t>
  </si>
  <si>
    <t xml:space="preserve">Capex (₹)</t>
  </si>
  <si>
    <t xml:space="preserve">Full cost per kg through (incl. depreciation &amp; interest)</t>
  </si>
  <si>
    <t xml:space="preserve">Volumes (t/yr)</t>
  </si>
  <si>
    <t xml:space="preserve">Banana</t>
  </si>
  <si>
    <t xml:space="preserve">Papaya</t>
  </si>
  <si>
    <t xml:space="preserve">Mango</t>
  </si>
  <si>
    <t xml:space="preserve">Total</t>
  </si>
  <si>
    <t xml:space="preserve">Processed through packhouse</t>
  </si>
  <si>
    <t xml:space="preserve">Sellable packed</t>
  </si>
  <si>
    <t xml:space="preserve">Banana harvest / surplus sold at farm gate</t>
  </si>
  <si>
    <t xml:space="preserve">Col B harvest, col C unprocessed surplus</t>
  </si>
  <si>
    <t xml:space="preserve">Export containers per year</t>
  </si>
  <si>
    <t xml:space="preserve">Unit economics (₹ per kg sellable)</t>
  </si>
  <si>
    <t xml:space="preserve">Banana export</t>
  </si>
  <si>
    <t xml:space="preserve">Banana domestic</t>
  </si>
  <si>
    <t xml:space="preserve">Kesar mango</t>
  </si>
  <si>
    <t xml:space="preserve">Selling price</t>
  </si>
  <si>
    <t xml:space="preserve">Fruit cost (farm / procurement)</t>
  </si>
  <si>
    <t xml:space="preserve">Packaging</t>
  </si>
  <si>
    <t xml:space="preserve">Freight (incl. ocean + surcharge for export)</t>
  </si>
  <si>
    <t xml:space="preserve">Total cost</t>
  </si>
  <si>
    <t xml:space="preserve">Net margin</t>
  </si>
  <si>
    <t xml:space="preserve">Net margin %</t>
  </si>
  <si>
    <t xml:space="preserve">Net margin per year (₹)</t>
  </si>
  <si>
    <t xml:space="preserve">Annual P&amp;L (₹ lakh)</t>
  </si>
  <si>
    <t xml:space="preserve">Sep-2026 conditions</t>
  </si>
  <si>
    <t xml:space="preserve">Normalised (no surcharge)</t>
  </si>
  <si>
    <t xml:space="preserve">Total revenue</t>
  </si>
  <si>
    <t xml:space="preserve">Total operating cost</t>
  </si>
  <si>
    <t xml:space="preserve">EBITDA</t>
  </si>
  <si>
    <t xml:space="preserve">Profit before tax</t>
  </si>
  <si>
    <t xml:space="preserve">Packhouse business EBITDA (farm paid farm-gate price)</t>
  </si>
  <si>
    <t xml:space="preserve">Net packhouse capex after subsidy</t>
  </si>
  <si>
    <t xml:space="preserve">Payback on value added (years)</t>
  </si>
  <si>
    <t xml:space="preserve">Rotation crop (per acre, before rent)</t>
  </si>
  <si>
    <t xml:space="preserve">Watermelon</t>
  </si>
  <si>
    <t xml:space="preserve">Green manure</t>
  </si>
  <si>
    <t xml:space="preserve">Banana (benchmark)</t>
  </si>
  <si>
    <t xml:space="preserve">Margin per acre per crop (₹)</t>
  </si>
  <si>
    <t xml:space="preserve">Margin per acre per month (₹)</t>
  </si>
  <si>
    <t xml:space="preserve">Key findings (update automatically)</t>
  </si>
  <si>
    <t xml:space="preserve">7. All harvest and loading wages are capped at ₹1,000/day (Inputs → labour cap). The farm plan's ₹400/day for permanent workers is below Gujarat's minimum wage of ₹501–512/day – check this.</t>
  </si>
  <si>
    <t xml:space="preserve">Blue = input · Black = formula · Green = link to another tab · Yellow = no reliable figure found (left blank). Key levers are highlighted on Inputs: running days, labour cap, yield shortfall, rotation acres, war-risk switch.</t>
  </si>
  <si>
    <t xml:space="preserve">Inputs &amp; Assumptions – change blue cells; every tab recalculates</t>
  </si>
  <si>
    <t xml:space="preserve">Blue = input · Yellow = no reliable figure found, left blank · Confidence: User (your plan/DPR/notes) / Researched / Derived / Estimate. [S#] = Sources tab.</t>
  </si>
  <si>
    <t xml:space="preserve">Parameter</t>
  </si>
  <si>
    <t xml:space="preserve">Value</t>
  </si>
  <si>
    <t xml:space="preserve">Unit</t>
  </si>
  <si>
    <t xml:space="preserve">Low</t>
  </si>
  <si>
    <t xml:space="preserve">High</t>
  </si>
  <si>
    <t xml:space="preserve">Confidence</t>
  </si>
  <si>
    <t xml:space="preserve">Source / rationale</t>
  </si>
  <si>
    <t xml:space="preserve">General</t>
  </si>
  <si>
    <t xml:space="preserve">USD/INR exchange rate</t>
  </si>
  <si>
    <t xml:space="preserve">₹ per USD</t>
  </si>
  <si>
    <t xml:space="preserve">Researched</t>
  </si>
  <si>
    <t xml:space="preserve">[S1] 95.96 on 25-Sep-2026.</t>
  </si>
  <si>
    <t xml:space="preserve">RUNNING DAYS – drive capacity, labour and power (change these to test)</t>
  </si>
  <si>
    <t xml:space="preserve">Packhouse (grading/packing lines) running days per year</t>
  </si>
  <si>
    <t xml:space="preserve">days/yr</t>
  </si>
  <si>
    <t xml:space="preserve">User</t>
  </si>
  <si>
    <t xml:space="preserve">Sitpur DPR design basis: 25 MT/day × ~300 operating days. Staggered banana planting keeps the line fed; ~65 days lost to Sundays/festivals/monsoon/maintenance.</t>
  </si>
  <si>
    <t xml:space="preserve">Pre-cooling running days per year</t>
  </si>
  <si>
    <t xml:space="preserve">Estimate</t>
  </si>
  <si>
    <t xml:space="preserve">Runs whenever the packhouse packs fruit (same days as packhouse).</t>
  </si>
  <si>
    <t xml:space="preserve">Cold storage running days per year</t>
  </si>
  <si>
    <t xml:space="preserve">Holds stock between packing and dispatch and during container build-up, so runs a little longer than the line; ~35 days shutdown for defrost/maintenance/lean weeks.</t>
  </si>
  <si>
    <t xml:space="preserve">Banana line intake capacity</t>
  </si>
  <si>
    <t xml:space="preserve">t/day</t>
  </si>
  <si>
    <t xml:space="preserve">Sitpur DPR: 25 MT/day design intake (planning figure).</t>
  </si>
  <si>
    <t xml:space="preserve">Multi-fruit line (papaya &amp; mango) intake capacity</t>
  </si>
  <si>
    <t xml:space="preserve">Separate sorting/washing/sizing tables – papaya &amp; mango are handled whole, not de-handed.</t>
  </si>
  <si>
    <t xml:space="preserve">Forced-air pre-cooling units</t>
  </si>
  <si>
    <t xml:space="preserve">units</t>
  </si>
  <si>
    <t xml:space="preserve">Derived</t>
  </si>
  <si>
    <t xml:space="preserve">Sized in 'Operations &amp; Capacity' – 3 × 6 MT covers banana + papaya/mango peaks.</t>
  </si>
  <si>
    <t xml:space="preserve">Pre-cooling batch size per unit</t>
  </si>
  <si>
    <t xml:space="preserve">MT/batch</t>
  </si>
  <si>
    <t xml:space="preserve">[S22] MIDH norm unit = 6 MT.</t>
  </si>
  <si>
    <t xml:space="preserve">Pre-cooling batches per unit per day</t>
  </si>
  <si>
    <t xml:space="preserve">batches/day</t>
  </si>
  <si>
    <t xml:space="preserve">6–8 h forced-air cycle.</t>
  </si>
  <si>
    <t xml:space="preserve">Cold storage capacity (2 chambers × 50 MT, 13 °C)</t>
  </si>
  <si>
    <t xml:space="preserve">MT</t>
  </si>
  <si>
    <t xml:space="preserve">Two chambers so ethylene-producing papaya/mango never share air with green banana. DPR had 20–25 MT – too small once export containers (20 t each) are staged.</t>
  </si>
  <si>
    <t xml:space="preserve">Average cold-storage holding – banana</t>
  </si>
  <si>
    <t xml:space="preserve">days</t>
  </si>
  <si>
    <t xml:space="preserve">Average cold-storage holding – papaya</t>
  </si>
  <si>
    <t xml:space="preserve">Average cold-storage holding – mango</t>
  </si>
  <si>
    <t xml:space="preserve">Farm – Sitpur Estate, Dabhoi (owner business plan, Sep-2026)</t>
  </si>
  <si>
    <t xml:space="preserve">Area under banana</t>
  </si>
  <si>
    <t xml:space="preserve">acres</t>
  </si>
  <si>
    <t xml:space="preserve">Farm plan.</t>
  </si>
  <si>
    <t xml:space="preserve">Plants per acre (6 ft × 6 ft)</t>
  </si>
  <si>
    <t xml:space="preserve">plants/acre</t>
  </si>
  <si>
    <t xml:space="preserve">Farm plan. Research: 1,200–1,450 [S2].</t>
  </si>
  <si>
    <t xml:space="preserve">Yield per plant – plant crop</t>
  </si>
  <si>
    <t xml:space="preserve">kg/plant</t>
  </si>
  <si>
    <t xml:space="preserve">Farm plan ('minimum'). = 30 t/acre; Gujarat avg 26.7 t/acre [S4].</t>
  </si>
  <si>
    <t xml:space="preserve">Yield per plant – ratoon</t>
  </si>
  <si>
    <t xml:space="preserve">Farm plan. Plan itself flags ratoon bunches are often lighter – test ~20 kg.</t>
  </si>
  <si>
    <t xml:space="preserve">Plant-crop months (planting → harvest)</t>
  </si>
  <si>
    <t xml:space="preserve">months</t>
  </si>
  <si>
    <t xml:space="preserve">Ratoon months</t>
  </si>
  <si>
    <t xml:space="preserve">Farm plan (19-month cycle, then replant).</t>
  </si>
  <si>
    <t xml:space="preserve">Inputs per plant – plant crop (plant, fertiliser, pesticide, labour)</t>
  </si>
  <si>
    <t xml:space="preserve">₹/plant</t>
  </si>
  <si>
    <t xml:space="preserve">Farm plan (plant material ₹17–20 included).</t>
  </si>
  <si>
    <t xml:space="preserve">Inputs per plant – ratoon</t>
  </si>
  <si>
    <t xml:space="preserve">Land rent (opportunity cost)</t>
  </si>
  <si>
    <t xml:space="preserve">₹/acre/yr</t>
  </si>
  <si>
    <t xml:space="preserve">Farm plan; research range ₹30,000–80,000 [S5].</t>
  </si>
  <si>
    <t xml:space="preserve">Farm-gate price – plant crop (used for surplus sold unprocessed)</t>
  </si>
  <si>
    <t xml:space="preserve">₹/kg</t>
  </si>
  <si>
    <t xml:space="preserve">Farm plan; your draft ₹11–21 seasonal.</t>
  </si>
  <si>
    <t xml:space="preserve">Farm-gate price – ratoon</t>
  </si>
  <si>
    <t xml:space="preserve">SCENARIO: banana yield shortfall this season</t>
  </si>
  <si>
    <t xml:space="preserve">% of yield</t>
  </si>
  <si>
    <t xml:space="preserve">Scenario</t>
  </si>
  <si>
    <t xml:space="preserve">Set e.g. 30% to test a bad season (disease, wind, heat).</t>
  </si>
  <si>
    <t xml:space="preserve">SCENARIO: acres switched to rotation crop</t>
  </si>
  <si>
    <t xml:space="preserve">Acres taken out of banana this year and planted with the crop chosen on 'Crop Rotation'.</t>
  </si>
  <si>
    <t xml:space="preserve">Rotation crop chosen (1 = Papaya, 2 = Watermelon, 3 = Green manure)</t>
  </si>
  <si>
    <t xml:space="preserve">choice</t>
  </si>
  <si>
    <t xml:space="preserve">Papaya recommended – see 'Crop Rotation'.</t>
  </si>
  <si>
    <t xml:space="preserve">LABOUR – daily-wage cap</t>
  </si>
  <si>
    <t xml:space="preserve">Upper limit – loading/unloading &amp; harvest labour</t>
  </si>
  <si>
    <t xml:space="preserve">₹/person/day</t>
  </si>
  <si>
    <t xml:space="preserve">Your instruction: never above ₹1,000/day. All harvest &amp; loading wages below are capped with MIN(rate, cap).</t>
  </si>
  <si>
    <t xml:space="preserve">Harvest tonnes per crew-day</t>
  </si>
  <si>
    <t xml:space="preserve">t/crew-day</t>
  </si>
  <si>
    <t xml:space="preserve">Your note: 13 t needs 10 people + 3 harvesters.</t>
  </si>
  <si>
    <t xml:space="preserve">Harvest carriers / handlers per crew</t>
  </si>
  <si>
    <t xml:space="preserve">people</t>
  </si>
  <si>
    <t xml:space="preserve">Your note.</t>
  </si>
  <si>
    <t xml:space="preserve">Harvesters (bunch cutters) per crew</t>
  </si>
  <si>
    <t xml:space="preserve">Harvest wage asked</t>
  </si>
  <si>
    <t xml:space="preserve">Your note – at the cap.</t>
  </si>
  <si>
    <t xml:space="preserve">Loading / unloading crew at packhouse</t>
  </si>
  <si>
    <t xml:space="preserve">people/day</t>
  </si>
  <si>
    <t xml:space="preserve">Unloading field crates &amp; procured fruit, loading reefer trucks/containers.</t>
  </si>
  <si>
    <t xml:space="preserve">Loading/unloading wage asked</t>
  </si>
  <si>
    <t xml:space="preserve">Hamali rates; capped at ₹1,000.</t>
  </si>
  <si>
    <t xml:space="preserve">Banana line workers per running day</t>
  </si>
  <si>
    <t xml:space="preserve">De-handing, washing, fungicide dip, grading, packing.</t>
  </si>
  <si>
    <t xml:space="preserve">Multi-fruit line workers per running day</t>
  </si>
  <si>
    <t xml:space="preserve">Sorting, washing, wrapping (papaya), sizing, packing.</t>
  </si>
  <si>
    <t xml:space="preserve">Packhouse worker wage</t>
  </si>
  <si>
    <t xml:space="preserve">₹/day</t>
  </si>
  <si>
    <t xml:space="preserve">[S6] Gujarat Zone-I unskilled minimum wage Apr–Sep 2026.</t>
  </si>
  <si>
    <t xml:space="preserve">Statutory loading on salaries</t>
  </si>
  <si>
    <t xml:space="preserve">% of salary</t>
  </si>
  <si>
    <t xml:space="preserve">ENERGY</t>
  </si>
  <si>
    <t xml:space="preserve">Effective electricity tariff</t>
  </si>
  <si>
    <t xml:space="preserve">₹/kWh</t>
  </si>
  <si>
    <t xml:space="preserve">[S13] ₹7.5–8.5/kWh effective + DG backup.</t>
  </si>
  <si>
    <t xml:space="preserve">Packing lines connected load</t>
  </si>
  <si>
    <t xml:space="preserve">kW</t>
  </si>
  <si>
    <t xml:space="preserve">Conveyors, pumps, sizer, lights, sealing.</t>
  </si>
  <si>
    <t xml:space="preserve">Line running hours per day</t>
  </si>
  <si>
    <t xml:space="preserve">h/day</t>
  </si>
  <si>
    <t xml:space="preserve">Line load factor</t>
  </si>
  <si>
    <t xml:space="preserve">%</t>
  </si>
  <si>
    <t xml:space="preserve">Pre-cooling energy per tonne cooled (30 → 13 °C)</t>
  </si>
  <si>
    <t xml:space="preserve">kWh/t</t>
  </si>
  <si>
    <t xml:space="preserve">~17 kWh(thermal)/t field heat; forced-air fans + COP ≈ 20 kWh(e)/t.</t>
  </si>
  <si>
    <t xml:space="preserve">Pre-cooling standby / fans per unit per running day</t>
  </si>
  <si>
    <t xml:space="preserve">kWh/unit/day</t>
  </si>
  <si>
    <t xml:space="preserve">Cold storage energy per MT capacity per running day (13 °C)</t>
  </si>
  <si>
    <t xml:space="preserve">kWh/MT/day</t>
  </si>
  <si>
    <t xml:space="preserve">[S33] 60–70 W/m³ cooling duty at ~2.2–3.4 m³/t, ~50% compressor duty in Vadodara heat.</t>
  </si>
  <si>
    <t xml:space="preserve">Contract demand</t>
  </si>
  <si>
    <t xml:space="preserve">3 pre-cooling units + 2 chambers + lines.</t>
  </si>
  <si>
    <t xml:space="preserve">Demand/fixed charge</t>
  </si>
  <si>
    <t xml:space="preserve">₹/kW/month</t>
  </si>
  <si>
    <t xml:space="preserve">[S13] LTMD fixed charges ₹50–85/kW for first 40 kW, higher slabs above.</t>
  </si>
  <si>
    <t xml:space="preserve">Banana post-harvest &amp; packing</t>
  </si>
  <si>
    <t xml:space="preserve">Stalk / rachis share of bunch</t>
  </si>
  <si>
    <t xml:space="preserve">% of bunch</t>
  </si>
  <si>
    <t xml:space="preserve">Banana culls / B-grade</t>
  </si>
  <si>
    <t xml:space="preserve">% of fruit</t>
  </si>
  <si>
    <t xml:space="preserve">Premium-only grading; culls → banana flour.</t>
  </si>
  <si>
    <t xml:space="preserve">Pre-cooling &amp; handling weight loss</t>
  </si>
  <si>
    <t xml:space="preserve">% of graded fruit</t>
  </si>
  <si>
    <t xml:space="preserve">Banana export share of sellable</t>
  </si>
  <si>
    <t xml:space="preserve">Your brief (DPR suggests export only from Phase 2).</t>
  </si>
  <si>
    <t xml:space="preserve">Banana carton net weight</t>
  </si>
  <si>
    <t xml:space="preserve">kg</t>
  </si>
  <si>
    <t xml:space="preserve">[S9][S10]</t>
  </si>
  <si>
    <t xml:space="preserve">Cartons per 40' HC reefer</t>
  </si>
  <si>
    <t xml:space="preserve">cartons</t>
  </si>
  <si>
    <t xml:space="preserve">[S11]</t>
  </si>
  <si>
    <t xml:space="preserve">Pseudostem fresh weight per plant</t>
  </si>
  <si>
    <t xml:space="preserve">[S12]</t>
  </si>
  <si>
    <t xml:space="preserve">Post-harvest chemicals &amp; sanitation (all fruits)</t>
  </si>
  <si>
    <t xml:space="preserve">₹/kg fruit</t>
  </si>
  <si>
    <t xml:space="preserve">Your draft.</t>
  </si>
  <si>
    <t xml:space="preserve">Process water &amp; wash-water treatment</t>
  </si>
  <si>
    <t xml:space="preserve">Banana export carton (13 kg telescopic)</t>
  </si>
  <si>
    <t xml:space="preserve">₹/carton</t>
  </si>
  <si>
    <t xml:space="preserve">[S9]</t>
  </si>
  <si>
    <t xml:space="preserve">Export polyliner / Banavac</t>
  </si>
  <si>
    <t xml:space="preserve">Export cushion pad</t>
  </si>
  <si>
    <t xml:space="preserve">Export labels &amp; stickers</t>
  </si>
  <si>
    <t xml:space="preserve">Banana domestic premium carton (13 kg)</t>
  </si>
  <si>
    <t xml:space="preserve">Domestic liner</t>
  </si>
  <si>
    <t xml:space="preserve">Domestic labels</t>
  </si>
  <si>
    <t xml:space="preserve">Papaya (procured from Vadodara/Anand growers)</t>
  </si>
  <si>
    <t xml:space="preserve">Papaya intake on papaya days</t>
  </si>
  <si>
    <t xml:space="preserve">Anand &amp; Vadodara have the largest papaya area in Middle Gujarat [S34].</t>
  </si>
  <si>
    <t xml:space="preserve">Papaya packing days (Jul–Mar, outside mango season)</t>
  </si>
  <si>
    <t xml:space="preserve">Papaya is available almost year-round in Gujarat; line switches to mango Apr–Jun.</t>
  </si>
  <si>
    <t xml:space="preserve">Papaya procurement price (A-grade, farm-gate)</t>
  </si>
  <si>
    <t xml:space="preserve">[S34] Gujarat ₹10/kg (Feb-2026); Red Lady ₹20/kg Navsari (May-2026).</t>
  </si>
  <si>
    <t xml:space="preserve">Collection freight to Sitpur</t>
  </si>
  <si>
    <t xml:space="preserve">≤60 km collection run.</t>
  </si>
  <si>
    <t xml:space="preserve">Papaya culls at grading</t>
  </si>
  <si>
    <t xml:space="preserve">% of intake</t>
  </si>
  <si>
    <t xml:space="preserve">Culls → compost.</t>
  </si>
  <si>
    <t xml:space="preserve">Papaya selling price – graded, pre-cooled, cartoned, delivered</t>
  </si>
  <si>
    <t xml:space="preserve">[S35] BigBasket papaya ₹61–81/kg retail; premium B2B ~40–45% of retail.</t>
  </si>
  <si>
    <t xml:space="preserve">Papaya carton net weight</t>
  </si>
  <si>
    <t xml:space="preserve">Papaya returnable plastic crate – hire per trip (10 kg)</t>
  </si>
  <si>
    <t xml:space="preserve">₹/crate</t>
  </si>
  <si>
    <t xml:space="preserve">Modern-trade DCs take papaya in returnable crates; a 5-ply carton would cost ~₹30–45 [S36].</t>
  </si>
  <si>
    <t xml:space="preserve">Papaya foam nets / paper wrap per crate</t>
  </si>
  <si>
    <t xml:space="preserve">Kesar mango (procured Apr–Jun from Valsad/Navsari/Gir growers)</t>
  </si>
  <si>
    <t xml:space="preserve">Mango intake on mango days</t>
  </si>
  <si>
    <t xml:space="preserve">Mango packing days</t>
  </si>
  <si>
    <t xml:space="preserve">[S37] Kesar arrives April; main Gir season May–June.</t>
  </si>
  <si>
    <t xml:space="preserve">Mango procurement price</t>
  </si>
  <si>
    <t xml:space="preserve">[S38] Talala APMC ₹70–75/kg (late Apr-2026); grades ₹40–133/kg.</t>
  </si>
  <si>
    <t xml:space="preserve">Inbound freight (150–400 km)</t>
  </si>
  <si>
    <t xml:space="preserve">Mango culls at grading</t>
  </si>
  <si>
    <t xml:space="preserve">Culls → compost (pulp units may buy – price not verified).</t>
  </si>
  <si>
    <t xml:space="preserve">Mango selling price – graded, pre-cooled, boxed, delivered</t>
  </si>
  <si>
    <t xml:space="preserve">[S38] dealer 10 kg boxes ₹140–150/kg; [S35] BigBasket Kesar ₹407/kg retail.</t>
  </si>
  <si>
    <t xml:space="preserve">Mango box net weight</t>
  </si>
  <si>
    <t xml:space="preserve">Premium retail/quick-commerce pack.</t>
  </si>
  <si>
    <t xml:space="preserve">Mango 3 kg printed box</t>
  </si>
  <si>
    <t xml:space="preserve">₹/box</t>
  </si>
  <si>
    <t xml:space="preserve">[S36] mango corrugated boxes ₹15–45/piece.</t>
  </si>
  <si>
    <t xml:space="preserve">Mango tissue/filler/label per box</t>
  </si>
  <si>
    <t xml:space="preserve">Export chain – banana (per 40' HC reefer)</t>
  </si>
  <si>
    <t xml:space="preserve">Banana export price, CIF Gulf</t>
  </si>
  <si>
    <t xml:space="preserve">US$ per 13 kg carton</t>
  </si>
  <si>
    <t xml:space="preserve">[S14][S15][S16]</t>
  </si>
  <si>
    <t xml:space="preserve">Reefer haulage Sitpur → port (Hazira ~170 km / Nhava Sheva / Mundra)</t>
  </si>
  <si>
    <t xml:space="preserve">₹/container</t>
  </si>
  <si>
    <t xml:space="preserve">Your draft (JNPT/Mundra). DPR notes Hazira at ~170 km – could be ~₹35–40k if reefer services suit.</t>
  </si>
  <si>
    <t xml:space="preserve">Origin THC, seal, B/L, VGM</t>
  </si>
  <si>
    <t xml:space="preserve">CHA, customs, phyto, docs</t>
  </si>
  <si>
    <t xml:space="preserve">Residue test + ethylene absorber + logger</t>
  </si>
  <si>
    <t xml:space="preserve">Ocean freight 40' reefer (base)</t>
  </si>
  <si>
    <t xml:space="preserve">US$/container</t>
  </si>
  <si>
    <t xml:space="preserve">[S17]</t>
  </si>
  <si>
    <t xml:space="preserve">Gulf war-risk surcharge</t>
  </si>
  <si>
    <t xml:space="preserve">US$/reefer</t>
  </si>
  <si>
    <t xml:space="preserve">[S18][S19]</t>
  </si>
  <si>
    <t xml:space="preserve">Apply war-risk surcharge? (1/0)</t>
  </si>
  <si>
    <t xml:space="preserve">switch</t>
  </si>
  <si>
    <t xml:space="preserve">1 = Sep-2026 conditions.</t>
  </si>
  <si>
    <t xml:space="preserve">Marine insurance</t>
  </si>
  <si>
    <t xml:space="preserve">% of CIF value</t>
  </si>
  <si>
    <t xml:space="preserve">Bank/forex/ECGC</t>
  </si>
  <si>
    <t xml:space="preserve">% of revenue</t>
  </si>
  <si>
    <t xml:space="preserve">Destination quality claims</t>
  </si>
  <si>
    <t xml:space="preserve">[S16]</t>
  </si>
  <si>
    <t xml:space="preserve">RoDTEP rate for fresh banana</t>
  </si>
  <si>
    <t xml:space="preserve">% of FOB</t>
  </si>
  <si>
    <t xml:space="preserve">Not found</t>
  </si>
  <si>
    <t xml:space="preserve">Not verified – left blank (treated as 0).</t>
  </si>
  <si>
    <t xml:space="preserve">Domestic chain (all fruits)</t>
  </si>
  <si>
    <t xml:space="preserve">Banana domestic price – premium green, delivered</t>
  </si>
  <si>
    <t xml:space="preserve">[S20][S21]. DPR planning price ₹26/kg (ripened).</t>
  </si>
  <si>
    <t xml:space="preserve">Reefer truck payload</t>
  </si>
  <si>
    <t xml:space="preserve">kg/trip</t>
  </si>
  <si>
    <t xml:space="preserve">Trip – Ahmedabad (~150 km from Sitpur)</t>
  </si>
  <si>
    <t xml:space="preserve">₹/trip</t>
  </si>
  <si>
    <t xml:space="preserve">Indicative; get quotes.</t>
  </si>
  <si>
    <t xml:space="preserve">Trip – Mumbai/Pune (~430 km)</t>
  </si>
  <si>
    <t xml:space="preserve">Trip – Delhi NCR (~1,000 km)</t>
  </si>
  <si>
    <t xml:space="preserve">Mix – Ahmedabad</t>
  </si>
  <si>
    <t xml:space="preserve">Mix – Mumbai/Pune</t>
  </si>
  <si>
    <t xml:space="preserve">Mix – Delhi NCR</t>
  </si>
  <si>
    <t xml:space="preserve">Must total 100%.</t>
  </si>
  <si>
    <t xml:space="preserve">Trade schemes &amp; claims (modern trade)</t>
  </si>
  <si>
    <t xml:space="preserve">Receivable days</t>
  </si>
  <si>
    <t xml:space="preserve">Capex financing</t>
  </si>
  <si>
    <t xml:space="preserve">MIDH/NHB capital subsidy</t>
  </si>
  <si>
    <t xml:space="preserve">% of eligible cost</t>
  </si>
  <si>
    <t xml:space="preserve">[S22] 35% general area; DPR notes APEDA FAS up to 40% for registered exporters.</t>
  </si>
  <si>
    <t xml:space="preserve">Promoter equity share</t>
  </si>
  <si>
    <t xml:space="preserve">Bank term-loan rate</t>
  </si>
  <si>
    <t xml:space="preserve">% p.a.</t>
  </si>
  <si>
    <t xml:space="preserve">[S23]; DPR used 9.5%.</t>
  </si>
  <si>
    <t xml:space="preserve">AIF interest subvention</t>
  </si>
  <si>
    <t xml:space="preserve">[S23]</t>
  </si>
  <si>
    <t xml:space="preserve">AIF subvention loan cap</t>
  </si>
  <si>
    <t xml:space="preserve">₹</t>
  </si>
  <si>
    <t xml:space="preserve">Loan tenure</t>
  </si>
  <si>
    <t xml:space="preserve">years</t>
  </si>
  <si>
    <t xml:space="preserve">DPR: 7-year term loan.</t>
  </si>
  <si>
    <t xml:space="preserve">Farm economics – Sitpur Estate, 150 acres (from your Banana Farm Business Plan, Sep-2026)</t>
  </si>
  <si>
    <t xml:space="preserve">Owner figures are the base case (Confidence = User). Research cross-checks are shown alongside. Harvest labour is costed in 'Packhouse Opex' with the ₹1,000/day cap.</t>
  </si>
  <si>
    <t xml:space="preserve">Item</t>
  </si>
  <si>
    <t xml:space="preserve">Plant crop</t>
  </si>
  <si>
    <t xml:space="preserve">Ratoon</t>
  </si>
  <si>
    <t xml:space="preserve">Full cycle / annual</t>
  </si>
  <si>
    <t xml:space="preserve">Basis</t>
  </si>
  <si>
    <t xml:space="preserve">Research cross-check</t>
  </si>
  <si>
    <t xml:space="preserve">A. Per acre (owner plan)</t>
  </si>
  <si>
    <t xml:space="preserve">Months</t>
  </si>
  <si>
    <t xml:space="preserve">19-month cycle, then replant</t>
  </si>
  <si>
    <t xml:space="preserve">[S2] G9 matures 11–12 months in Gujarat</t>
  </si>
  <si>
    <t xml:space="preserve">Output (kg/acre)</t>
  </si>
  <si>
    <t xml:space="preserve">Plants × kg/plant × (1 − shortfall)</t>
  </si>
  <si>
    <t xml:space="preserve">[S4] Gujarat avg 26.7 t/acre; Bharuch 29.4 t/acre</t>
  </si>
  <si>
    <t xml:space="preserve">Inputs (₹/acre)</t>
  </si>
  <si>
    <t xml:space="preserve">₹125 / ₹50 per plant (plant, fertiliser, pesticide, labour)</t>
  </si>
  <si>
    <t xml:space="preserve">Researched itemised build-up (v1 of this workbook) gave ₹1.64 L plant crop excl. rent – plan's ₹1.5 L is consistent</t>
  </si>
  <si>
    <t xml:space="preserve">Farm-gate value (₹/acre) – reference only</t>
  </si>
  <si>
    <t xml:space="preserve">What the fruit is worth if sold at farm gate</t>
  </si>
  <si>
    <t xml:space="preserve">Plan's harvest handling ₹10/plant (NOT used – see note)</t>
  </si>
  <si>
    <t xml:space="preserve">Replaced by your crew model (13 people/13 t, ≤₹1,000/day) = ~₹1/kg vs ₹0.40/kg here</t>
  </si>
  <si>
    <t xml:space="preserve">B. Annual farm fixed costs (owner plan)</t>
  </si>
  <si>
    <t xml:space="preserve">Qty</t>
  </si>
  <si>
    <t xml:space="preserve">Rate (₹)</t>
  </si>
  <si>
    <t xml:space="preserve">₹ per year</t>
  </si>
  <si>
    <t xml:space="preserve">Note</t>
  </si>
  <si>
    <t xml:space="preserve">Permanent workers already inside ₹125/₹50 per-plant inputs? (1 = yes → exclude below)</t>
  </si>
  <si>
    <t xml:space="preserve">Plan's open question; base case counts them</t>
  </si>
  <si>
    <t xml:space="preserve">Land rent</t>
  </si>
  <si>
    <t xml:space="preserve">150 acres × ₹50,000</t>
  </si>
  <si>
    <t xml:space="preserve">Opportunity cost if owners farm it</t>
  </si>
  <si>
    <t xml:space="preserve">Farm workers (50 × 312 paid days)</t>
  </si>
  <si>
    <t xml:space="preserve">₹400/day</t>
  </si>
  <si>
    <t xml:space="preserve">Below Gujarat minimum wage (₹501–512/day, [S6]) – check</t>
  </si>
  <si>
    <t xml:space="preserve">Agronomist / farm manager</t>
  </si>
  <si>
    <t xml:space="preserve">₹/month</t>
  </si>
  <si>
    <t xml:space="preserve">Sub-assistants</t>
  </si>
  <si>
    <t xml:space="preserve">GAS – salary</t>
  </si>
  <si>
    <t xml:space="preserve">HAS – salary</t>
  </si>
  <si>
    <t xml:space="preserve">Company driver</t>
  </si>
  <si>
    <t xml:space="preserve">MGVCL power, 9 connections</t>
  </si>
  <si>
    <t xml:space="preserve">₹/connection/yr</t>
  </si>
  <si>
    <t xml:space="preserve">Fuel – tractors</t>
  </si>
  <si>
    <t xml:space="preserve">₹/yr</t>
  </si>
  <si>
    <t xml:space="preserve">Fuel – car &amp; 3 bikes</t>
  </si>
  <si>
    <t xml:space="preserve">Repairs &amp; maintenance</t>
  </si>
  <si>
    <t xml:space="preserve">Insurance – vehicles, assets, staff accident</t>
  </si>
  <si>
    <t xml:space="preserve">Crop insurance (5% of ₹1.5 L/acre)</t>
  </si>
  <si>
    <t xml:space="preserve">Gujarat exited PMFBY – private/state policy quote needed</t>
  </si>
  <si>
    <t xml:space="preserve">Total farm fixed costs</t>
  </si>
  <si>
    <t xml:space="preserve">Plan: ₹195.19 L</t>
  </si>
  <si>
    <t xml:space="preserve">C. Farm capex (owner plan)</t>
  </si>
  <si>
    <t xml:space="preserve">Asset</t>
  </si>
  <si>
    <t xml:space="preserve">Cost (₹)</t>
  </si>
  <si>
    <t xml:space="preserve">Life (yrs)</t>
  </si>
  <si>
    <t xml:space="preserve">Depreciation ₹/yr</t>
  </si>
  <si>
    <t xml:space="preserve">Tractors: 3 large @ ₹10 L + 3 small @ ₹6 L</t>
  </si>
  <si>
    <t xml:space="preserve">Drip irrigation @ ₹50,000/acre + headworks</t>
  </si>
  <si>
    <t xml:space="preserve">Research: ₹25,000–60,000/acre [S8]</t>
  </si>
  <si>
    <t xml:space="preserve">50-t truck weighbridge incl. civil</t>
  </si>
  <si>
    <t xml:space="preserve">Wild boar / animal fencing</t>
  </si>
  <si>
    <t xml:space="preserve">Total farm capex / depreciation</t>
  </si>
  <si>
    <t xml:space="preserve">D. Annual farm summary (banana acres = 150 − rotation acres)</t>
  </si>
  <si>
    <t xml:space="preserve">Banana acres this year</t>
  </si>
  <si>
    <t xml:space="preserve">Annual banana harvest (t)</t>
  </si>
  <si>
    <t xml:space="preserve">Annual inputs (₹)</t>
  </si>
  <si>
    <t xml:space="preserve">Annual fixed costs (₹)</t>
  </si>
  <si>
    <t xml:space="preserve">Farm cash cost (inputs + fixed) (₹)</t>
  </si>
  <si>
    <t xml:space="preserve">Farm depreciation (₹)</t>
  </si>
  <si>
    <t xml:space="preserve">Farm cost per kg of bunch incl. depreciation (₹/kg)</t>
  </si>
  <si>
    <t xml:space="preserve">Plan's break-even ₹7.67/kg includes plan harvest handling</t>
  </si>
  <si>
    <t xml:space="preserve">Farm-gate value of the harvest (₹) – reference</t>
  </si>
  <si>
    <t xml:space="preserve">Average farm-gate price (₹/kg)</t>
  </si>
  <si>
    <t xml:space="preserve">Rotation / backup crop for seasons when banana does not do well</t>
  </si>
  <si>
    <t xml:space="preserve">Compared per acre. Land rent is already in farm fixed costs, so margins here are before rent. Pick the crop on Inputs → 'Rotation crop chosen' and set acres to switch.</t>
  </si>
  <si>
    <t xml:space="preserve">1. Papaya (Red Lady 786)</t>
  </si>
  <si>
    <t xml:space="preserve">2. Watermelon (hybrid)</t>
  </si>
  <si>
    <t xml:space="preserve">3. Green manure (sunhemp / dhaincha)</t>
  </si>
  <si>
    <t xml:space="preserve">Sources / notes</t>
  </si>
  <si>
    <t xml:space="preserve">Duration in field</t>
  </si>
  <si>
    <t xml:space="preserve">Papaya fruits from 6–8 months and bears ~2 years [S39]; watermelon 75–90 days [S40]; green manure 45–60 days [S41].</t>
  </si>
  <si>
    <t xml:space="preserve">Cultivation cost (excl. land rent)</t>
  </si>
  <si>
    <t xml:space="preserve">₹/acre</t>
  </si>
  <si>
    <t xml:space="preserve">[S39] papaya ₹70–90k/acre; [S40] watermelon Banaskantha study ₹2,04,696/ha (cost C2). Green manure computed below.</t>
  </si>
  <si>
    <t xml:space="preserve">  Green manure: seed 20 kg × price</t>
  </si>
  <si>
    <t xml:space="preserve">[S41] 20 kg/acre; dhaincha seed ₹2,850/25 kg (≈₹114/kg).</t>
  </si>
  <si>
    <t xml:space="preserve">  Green manure: sowing + incorporation</t>
  </si>
  <si>
    <t xml:space="preserve">Estimate (tractor passes).</t>
  </si>
  <si>
    <t xml:space="preserve">Yield</t>
  </si>
  <si>
    <t xml:space="preserve">t/acre</t>
  </si>
  <si>
    <t xml:space="preserve">[S39] papaya 30–50 t/acre over its life; [S40] watermelon 8–12 t/acre.</t>
  </si>
  <si>
    <t xml:space="preserve">Farm-gate price</t>
  </si>
  <si>
    <t xml:space="preserve">[S34] papaya ₹10–20/kg Gujarat 2026; [S40] watermelon ₹4–6.25/kg Gujarat mandis (May-2025), +20–30% in 2026 [S42].</t>
  </si>
  <si>
    <t xml:space="preserve">Harvest &amp; transport to buyer</t>
  </si>
  <si>
    <t xml:space="preserve">Estimate.</t>
  </si>
  <si>
    <t xml:space="preserve">Revenue per acre</t>
  </si>
  <si>
    <t xml:space="preserve">Harvest &amp; transport</t>
  </si>
  <si>
    <t xml:space="preserve">Margin per acre per crop (before rent)</t>
  </si>
  <si>
    <t xml:space="preserve">Margin per acre per month in field</t>
  </si>
  <si>
    <t xml:space="preserve">Banana benchmark: margin per acre per month (farm-gate value − inputs)</t>
  </si>
  <si>
    <t xml:space="preserve">From 'Farm Plan' section A (before harvest labour and fixed costs)</t>
  </si>
  <si>
    <t xml:space="preserve">Agronomic fit</t>
  </si>
  <si>
    <t xml:space="preserve">Breaks the banana disease cycle (Fusarium wilt, nematodes)?</t>
  </si>
  <si>
    <t xml:space="preserve">Yes – not a host of Foc [S43]</t>
  </si>
  <si>
    <t xml:space="preserve">Yes – cucurbits are among rotation crops shown to cut banana wilt [S43]</t>
  </si>
  <si>
    <t xml:space="preserve">Yes – adds organic matter; best done just before replanting</t>
  </si>
  <si>
    <t xml:space="preserve">Reuses banana drip, labour &amp; packhouse?</t>
  </si>
  <si>
    <t xml:space="preserve">Yes – drip reused; fruit goes through your own multi-fruit line</t>
  </si>
  <si>
    <t xml:space="preserve">Partly – drip reused; sold direct (low value/kg for packhouse)</t>
  </si>
  <si>
    <t xml:space="preserve">No revenue</t>
  </si>
  <si>
    <t xml:space="preserve">Key risk</t>
  </si>
  <si>
    <t xml:space="preserve">Papaya ringspot virus (aphids); keep away from cucurbits</t>
  </si>
  <si>
    <t xml:space="preserve">Hosts papaya ringspot virus-W – don't grow next to papaya</t>
  </si>
  <si>
    <t xml:space="preserve">None</t>
  </si>
  <si>
    <t xml:space="preserve">When to use</t>
  </si>
  <si>
    <t xml:space="preserve">Main backup: a whole block that fails or needs a 1.5–2 yr break</t>
  </si>
  <si>
    <t xml:space="preserve">Quick 3-month filler if a failure is noticed in Dec–Feb, before June replanting</t>
  </si>
  <si>
    <t xml:space="preserve">45–60 days before every banana replant</t>
  </si>
  <si>
    <t xml:space="preserve">Scenario feeding the P&amp;L (from Inputs)</t>
  </si>
  <si>
    <t xml:space="preserve">Crop chosen</t>
  </si>
  <si>
    <t xml:space="preserve">Acres switched out of banana</t>
  </si>
  <si>
    <t xml:space="preserve">Annualised rotation-crop revenue (₹)</t>
  </si>
  <si>
    <t xml:space="preserve">Annualised rotation-crop cost (₹)</t>
  </si>
  <si>
    <t xml:space="preserve">Recommendation</t>
  </si>
  <si>
    <t xml:space="preserve">Use papaya as the backup cash crop, because it is the only option that comes close to banana's margin per acre-month and it feeds your own packhouse. Sow green manure before every banana replant. Use watermelon only as a short filler, and never next to papaya. Rotation cuts Fusarium wilt risk, which the plan lists as a key threat on land that has been under banana since 2010.</t>
  </si>
  <si>
    <t xml:space="preserve">Which extra fruits should the packhouse handle? (screening of candidates)</t>
  </si>
  <si>
    <t xml:space="preserve">Criteria: supply near Sitpur, season that fills banana gaps, storage compatible with banana's 13–14 °C rooms, value per kg, fit with lines. Blank = not verified.</t>
  </si>
  <si>
    <t xml:space="preserve">Fruit</t>
  </si>
  <si>
    <t xml:space="preserve">Supply near Sitpur</t>
  </si>
  <si>
    <t xml:space="preserve">Season</t>
  </si>
  <si>
    <t xml:space="preserve">Storage temp &amp; shelf life</t>
  </si>
  <si>
    <t xml:space="preserve">Buy price (₹/kg, 2026)</t>
  </si>
  <si>
    <t xml:space="preserve">Premium sale / retail (₹/kg)</t>
  </si>
  <si>
    <t xml:space="preserve">Fit with banana packhouse</t>
  </si>
  <si>
    <t xml:space="preserve">Verdict</t>
  </si>
  <si>
    <t xml:space="preserve">Anand &amp; Vadodara have the largest papaya area in Middle Gujarat [S34]</t>
  </si>
  <si>
    <t xml:space="preserve">Almost year-round</t>
  </si>
  <si>
    <t xml:space="preserve">10–13 °C; 1–3 weeks; tropical group with banana &amp; mango [S44]</t>
  </si>
  <si>
    <t xml:space="preserve">10–20 [S34]</t>
  </si>
  <si>
    <t xml:space="preserve">BigBasket 61–81 retail [S35]</t>
  </si>
  <si>
    <t xml:space="preserve">Same 13 °C chamber group; high volume fills idle line capacity</t>
  </si>
  <si>
    <t xml:space="preserve">RECOMMENDED</t>
  </si>
  <si>
    <t xml:space="preserve">Valsad/Navsari ~150–200 km; Gir-Talala ~400 km [S37]</t>
  </si>
  <si>
    <t xml:space="preserve">Apr–Jun (~60 days)</t>
  </si>
  <si>
    <t xml:space="preserve">12–13 °C; 2–3 weeks; tropical group [S44]</t>
  </si>
  <si>
    <t xml:space="preserve">70–75 APMC; 40–133 by grade [S38]</t>
  </si>
  <si>
    <t xml:space="preserve">140–150 dealer; 407 BigBasket [S35][S38]</t>
  </si>
  <si>
    <t xml:space="preserve">Highest value per kg; pre-cooling adds shelf life; short season</t>
  </si>
  <si>
    <t xml:space="preserve">RECOMMENDED (seasonal)</t>
  </si>
  <si>
    <t xml:space="preserve">Sapota (chikoo)</t>
  </si>
  <si>
    <t xml:space="preserve">Navsari/Valsad – India's largest sapota belt, ~150 km [S45]</t>
  </si>
  <si>
    <t xml:space="preserve">Most of the year (peak winter)</t>
  </si>
  <si>
    <t xml:space="preserve">7.5–12.5 Valsad APMC [S45]</t>
  </si>
  <si>
    <t xml:space="preserve">~35 Gujarat market [S45]</t>
  </si>
  <si>
    <t xml:space="preserve">Low value; ~90% already flows to Delhi via co-ops</t>
  </si>
  <si>
    <t xml:space="preserve">Possible later</t>
  </si>
  <si>
    <t xml:space="preserve">Pomegranate</t>
  </si>
  <si>
    <t xml:space="preserve">Kutch/Banaskantha ~400–450 km [S46]</t>
  </si>
  <si>
    <t xml:space="preserve">Main crop in winter</t>
  </si>
  <si>
    <t xml:space="preserve">~5–7 °C – needs its own chamber (standard post-harvest guides)</t>
  </si>
  <si>
    <t xml:space="preserve">30 (A-grade, Kutch) [S46]</t>
  </si>
  <si>
    <t xml:space="preserve">115 wholesale; 132–150 export grade [S46]</t>
  </si>
  <si>
    <t xml:space="preserve">Separate cold room; export needs registered farms (Anar-Net); far away</t>
  </si>
  <si>
    <t xml:space="preserve">Not now</t>
  </si>
  <si>
    <t xml:space="preserve">Mahuva/Bhavnagar &amp; local [S42]</t>
  </si>
  <si>
    <t xml:space="preserve">Feb–May</t>
  </si>
  <si>
    <t xml:space="preserve">4–6 [S40]</t>
  </si>
  <si>
    <t xml:space="preserve">Bulky, low value per kg – packing adds little</t>
  </si>
  <si>
    <t xml:space="preserve">Rotation crop only</t>
  </si>
  <si>
    <t xml:space="preserve">Decision: banana + papaya + Kesar mango. All three are tropical, chilling-sensitive fruit stored around 13 °C, so they share pre-cooling. Papaya and mango give off ethylene, which would ripen green banana, so they get their own 50 MT cold chamber. Pomegranate would need a third, colder chamber.</t>
  </si>
  <si>
    <t xml:space="preserve">Operating calendar (● = packing that fruit)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</si>
  <si>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</si>
  <si>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</si>
  <si>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</si>
  <si>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</si>
  <si>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</si>
  <si>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</si>
  <si>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</si>
  <si>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</si>
  <si>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</si>
  <si>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</si>
  <si>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</si>
  <si>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</si>
  <si>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●</t>
  </si>
  <si>
    <t xml:space="preserve">Operations, running days, capacity &amp; volumes</t>
  </si>
  <si>
    <t xml:space="preserve">Everything here recalculates from the running days on Inputs. If days fall, capacity falls and unprocessed banana is sold at farm gate.</t>
  </si>
  <si>
    <t xml:space="preserve">Unit / note</t>
  </si>
  <si>
    <t xml:space="preserve">Running days &amp; capacity</t>
  </si>
  <si>
    <t xml:space="preserve">Packing days used</t>
  </si>
  <si>
    <t xml:space="preserve">days/yr – mango gets priority in its season, papaya fills the rest</t>
  </si>
  <si>
    <t xml:space="preserve">Line capacity per day</t>
  </si>
  <si>
    <t xml:space="preserve">t/day intake</t>
  </si>
  <si>
    <t xml:space="preserve">Line capacity per year</t>
  </si>
  <si>
    <t xml:space="preserve">t/yr</t>
  </si>
  <si>
    <t xml:space="preserve">Intake</t>
  </si>
  <si>
    <t xml:space="preserve">Fruit available (banana harvest / planned procurement)</t>
  </si>
  <si>
    <t xml:space="preserve">Banana not processed → sold at farm gate</t>
  </si>
  <si>
    <t xml:space="preserve">t/yr – rises if you cut running days</t>
  </si>
  <si>
    <t xml:space="preserve">Line utilisation</t>
  </si>
  <si>
    <t xml:space="preserve">Mass balance</t>
  </si>
  <si>
    <t xml:space="preserve">Stalk / rachis removed</t>
  </si>
  <si>
    <t xml:space="preserve">t/yr → compost</t>
  </si>
  <si>
    <t xml:space="preserve">Fruit after de-handing / receiving</t>
  </si>
  <si>
    <t xml:space="preserve">Culls / B-grade</t>
  </si>
  <si>
    <t xml:space="preserve">t/yr → banana flour; papaya &amp; mango → compost</t>
  </si>
  <si>
    <t xml:space="preserve">Graded fruit to pre-cooling</t>
  </si>
  <si>
    <t xml:space="preserve">Sellable packed fruit</t>
  </si>
  <si>
    <t xml:space="preserve">  of which export</t>
  </si>
  <si>
    <t xml:space="preserve">  of which domestic premium</t>
  </si>
  <si>
    <t xml:space="preserve">Cartons / boxes</t>
  </si>
  <si>
    <t xml:space="preserve">per year</t>
  </si>
  <si>
    <t xml:space="preserve">Export containers (40' HC)</t>
  </si>
  <si>
    <t xml:space="preserve">Domestic reefer trips</t>
  </si>
  <si>
    <t xml:space="preserve">Pseudostem biomass (whole harvest)</t>
  </si>
  <si>
    <t xml:space="preserve">Pre-cooling check</t>
  </si>
  <si>
    <t xml:space="preserve">Average pre-cooling load on running days</t>
  </si>
  <si>
    <t xml:space="preserve">Pre-cooling capacity</t>
  </si>
  <si>
    <t xml:space="preserve">Pre-cooling utilisation</t>
  </si>
  <si>
    <t xml:space="preserve">% – above ~80% means peaks will overflow; add a unit</t>
  </si>
  <si>
    <t xml:space="preserve">Cold storage check</t>
  </si>
  <si>
    <t xml:space="preserve">Average stock held (t)</t>
  </si>
  <si>
    <t xml:space="preserve">t – banana chamber vs papaya/mango chamber</t>
  </si>
  <si>
    <t xml:space="preserve">Peak stock incl. one export container being built (t)</t>
  </si>
  <si>
    <t xml:space="preserve">t (×1.5 peak factor)</t>
  </si>
  <si>
    <t xml:space="preserve">Peak utilisation of 100 MT</t>
  </si>
  <si>
    <t xml:space="preserve">Labour days</t>
  </si>
  <si>
    <t xml:space="preserve">Harvest crew-days (whole banana harvest)</t>
  </si>
  <si>
    <t xml:space="preserve">crew-days/yr (13 people each)</t>
  </si>
  <si>
    <t xml:space="preserve">Multi-fruit line days</t>
  </si>
  <si>
    <t xml:space="preserve">Capex by cost centre – packhouse lines, PRE-COOLING, COLD STORAGE and common services</t>
  </si>
  <si>
    <t xml:space="preserve">Market prices vs MIDH norms; subsidy on the lower of the two. DPR comparison at the bottom.</t>
  </si>
  <si>
    <t xml:space="preserve">Unit cost (₹)</t>
  </si>
  <si>
    <t xml:space="preserve">Amount (₹)</t>
  </si>
  <si>
    <t xml:space="preserve">MIDH norm cap (₹)</t>
  </si>
  <si>
    <t xml:space="preserve">Subsidy-eligible (₹)</t>
  </si>
  <si>
    <t xml:space="preserve">Subsidy (₹)</t>
  </si>
  <si>
    <t xml:space="preserve">Depreciation (₹/yr)</t>
  </si>
  <si>
    <t xml:space="preserve">Source / note</t>
  </si>
  <si>
    <t xml:space="preserve">A. PACKHOUSE LINES</t>
  </si>
  <si>
    <t xml:space="preserve">Integrated banana pack house (PEB shed, de-handing &amp; wash tanks, conveyor, grading, weighing)</t>
  </si>
  <si>
    <t xml:space="preserve">unit</t>
  </si>
  <si>
    <t xml:space="preserve">[S24] ₹90 L listing; MIDH norm ₹50 L [S22].</t>
  </si>
  <si>
    <t xml:space="preserve">Multi-fruit line: sorting tables, washer/brusher, roller sizer, wrapping tables (papaya &amp; mango)</t>
  </si>
  <si>
    <t xml:space="preserve">lot</t>
  </si>
  <si>
    <t xml:space="preserve">not eligible</t>
  </si>
  <si>
    <t xml:space="preserve">Get vendor quotes.</t>
  </si>
  <si>
    <t xml:space="preserve">Plastic field crates (banana + papaya + mango)</t>
  </si>
  <si>
    <t xml:space="preserve">crates</t>
  </si>
  <si>
    <t xml:space="preserve">Material handling: pallet trucks, scales, carton sealing</t>
  </si>
  <si>
    <t xml:space="preserve">Subtotal – Packhouse Lines</t>
  </si>
  <si>
    <t xml:space="preserve">B. PRE-COOLING</t>
  </si>
  <si>
    <t xml:space="preserve">Forced-air pre-cooling units, 6 MT/batch</t>
  </si>
  <si>
    <t xml:space="preserve">MIDH norm ₹25 L per 6 MT unit [S22]; market ~20% above.</t>
  </si>
  <si>
    <t xml:space="preserve">Subtotal – Pre-Cooling</t>
  </si>
  <si>
    <t xml:space="preserve">C. COLD STORAGE</t>
  </si>
  <si>
    <t xml:space="preserve">Cold chambers at 13 °C (2 × 50 MT, insulated panels, refrigeration)</t>
  </si>
  <si>
    <t xml:space="preserve">[S25] ₹14–18k/MT at scale; small chambers cost more. MIDH ~₹8,000/MT.</t>
  </si>
  <si>
    <t xml:space="preserve">Subtotal – Cold Storage</t>
  </si>
  <si>
    <t xml:space="preserve">D. COMMON SERVICES</t>
  </si>
  <si>
    <t xml:space="preserve">Site development (3–5 acre carve-out at Sitpur)</t>
  </si>
  <si>
    <t xml:space="preserve">DPR: site within Sitpur Estate.</t>
  </si>
  <si>
    <t xml:space="preserve">Electrical: transformer / HT connection, panels</t>
  </si>
  <si>
    <t xml:space="preserve">DPR: 3-phase available at estate office – extension needed.</t>
  </si>
  <si>
    <t xml:space="preserve">DG set 160 kVA (backup for refrigeration)</t>
  </si>
  <si>
    <t xml:space="preserve">Water: borewell link, storage, filtration, wash-water treatment</t>
  </si>
  <si>
    <t xml:space="preserve">DPR: 9 borewells on estate.</t>
  </si>
  <si>
    <t xml:space="preserve">QC lab + office &amp; IT</t>
  </si>
  <si>
    <t xml:space="preserve">Subtotal – Common Services</t>
  </si>
  <si>
    <t xml:space="preserve">Contingency &amp; pre-operative (5%) – common</t>
  </si>
  <si>
    <t xml:space="preserve">TOTAL PROJECT COST</t>
  </si>
  <si>
    <t xml:space="preserve">Financing (AIF + MIDH)</t>
  </si>
  <si>
    <t xml:space="preserve">Total project cost (₹)</t>
  </si>
  <si>
    <t xml:space="preserve">Promoter equity (₹)</t>
  </si>
  <si>
    <t xml:space="preserve">Term loan (₹)</t>
  </si>
  <si>
    <t xml:space="preserve">MIDH subsidy adjusted against loan (₹)</t>
  </si>
  <si>
    <t xml:space="preserve">Net loan to service (₹)</t>
  </si>
  <si>
    <t xml:space="preserve">Effective rate after AIF subvention</t>
  </si>
  <si>
    <t xml:space="preserve">Annual EMI (₹)</t>
  </si>
  <si>
    <t xml:space="preserve">Average annual interest (₹)</t>
  </si>
  <si>
    <t xml:space="preserve">Comparison with your Sitpur DPR (₹ lakh)</t>
  </si>
  <si>
    <t xml:space="preserve">DPR line</t>
  </si>
  <si>
    <t xml:space="preserve">DPR ₹ L</t>
  </si>
  <si>
    <t xml:space="preserve">This model ₹ L</t>
  </si>
  <si>
    <t xml:space="preserve">Comment</t>
  </si>
  <si>
    <t xml:space="preserve">Civil works + grading/sorting/packing line</t>
  </si>
  <si>
    <t xml:space="preserve">Model uses a ₹90 L integrated packhouse listing + multi-fruit line</t>
  </si>
  <si>
    <t xml:space="preserve">Ripening chamber (20–25 MT)</t>
  </si>
  <si>
    <t xml:space="preserve">Not in model – you sell green, pre-ripened fruit. Add back if you ripen for quick-commerce.</t>
  </si>
  <si>
    <t xml:space="preserve">Pre-cooling unit &amp; cold storage (20–25 MT)</t>
  </si>
  <si>
    <t xml:space="preserve">Model: 3 × 6 MT pre-cooling + 100 MT cold storage (multi-fruit + export staging)</t>
  </si>
  <si>
    <t xml:space="preserve">Utilities &amp; support</t>
  </si>
  <si>
    <t xml:space="preserve">Collection vehicles &amp; material handling</t>
  </si>
  <si>
    <t xml:space="preserve">Model hires collection transport (₹/kg) instead</t>
  </si>
  <si>
    <t xml:space="preserve">Preliminary &amp; pre-operative</t>
  </si>
  <si>
    <t xml:space="preserve">Opex by cost centre – packhouse lines, PRE-COOLING, COLD STORAGE, common (all driven by running days)</t>
  </si>
  <si>
    <t xml:space="preserve">Change running days on Inputs: day-based labour and energy move with them. Wages for harvest/loading are capped at ₹1,000/day.</t>
  </si>
  <si>
    <t xml:space="preserve">Driver</t>
  </si>
  <si>
    <t xml:space="preserve">Driver unit</t>
  </si>
  <si>
    <t xml:space="preserve">Rate</t>
  </si>
  <si>
    <t xml:space="preserve">Rate unit</t>
  </si>
  <si>
    <t xml:space="preserve">Annual cost (₹)</t>
  </si>
  <si>
    <t xml:space="preserve">Cost centre</t>
  </si>
  <si>
    <t xml:space="preserve">Variable / day-driven</t>
  </si>
  <si>
    <t xml:space="preserve">Harvest crew (13 people per 13 t)</t>
  </si>
  <si>
    <t xml:space="preserve">crew-days</t>
  </si>
  <si>
    <t xml:space="preserve">₹/crew-day (capped)</t>
  </si>
  <si>
    <t xml:space="preserve">Harvest</t>
  </si>
  <si>
    <t xml:space="preserve">Whole banana harvest</t>
  </si>
  <si>
    <t xml:space="preserve">Loading / unloading crew</t>
  </si>
  <si>
    <t xml:space="preserve">running days</t>
  </si>
  <si>
    <t xml:space="preserve">₹/day (capped)</t>
  </si>
  <si>
    <t xml:space="preserve">Banana line workers</t>
  </si>
  <si>
    <t xml:space="preserve">[S6]</t>
  </si>
  <si>
    <t xml:space="preserve">Multi-fruit line workers</t>
  </si>
  <si>
    <t xml:space="preserve">line days</t>
  </si>
  <si>
    <t xml:space="preserve">Chemicals, sanitation &amp; water</t>
  </si>
  <si>
    <t xml:space="preserve">kg fruit</t>
  </si>
  <si>
    <t xml:space="preserve">User/Est.</t>
  </si>
  <si>
    <t xml:space="preserve">Packing-line power</t>
  </si>
  <si>
    <t xml:space="preserve">PRE-COOLING power – product load</t>
  </si>
  <si>
    <t xml:space="preserve">t cooled</t>
  </si>
  <si>
    <t xml:space="preserve">₹/t</t>
  </si>
  <si>
    <t xml:space="preserve">PRE-COOLING power – fans/standby</t>
  </si>
  <si>
    <t xml:space="preserve">COLD STORAGE power</t>
  </si>
  <si>
    <t xml:space="preserve">[S33]</t>
  </si>
  <si>
    <t xml:space="preserve">Fixed</t>
  </si>
  <si>
    <t xml:space="preserve">Packhouse manager (1)</t>
  </si>
  <si>
    <t xml:space="preserve">headcount</t>
  </si>
  <si>
    <t xml:space="preserve">₹/yr incl. statutory</t>
  </si>
  <si>
    <t xml:space="preserve">QA / food safety &amp; documentation (1)</t>
  </si>
  <si>
    <t xml:space="preserve">Shift / labour supervisors (2)</t>
  </si>
  <si>
    <t xml:space="preserve">Pre-cooling operator (1)</t>
  </si>
  <si>
    <t xml:space="preserve">Cold storage / refrigeration technician (2)</t>
  </si>
  <si>
    <t xml:space="preserve">Accounts &amp; admin (1)</t>
  </si>
  <si>
    <t xml:space="preserve">Common</t>
  </si>
  <si>
    <t xml:space="preserve">Security guards (3)</t>
  </si>
  <si>
    <t xml:space="preserve">Sales / key-account manager (1)</t>
  </si>
  <si>
    <t xml:space="preserve">Electricity demand charges</t>
  </si>
  <si>
    <t xml:space="preserve">₹/kW/yr</t>
  </si>
  <si>
    <t xml:space="preserve">R&amp;M – packhouse lines</t>
  </si>
  <si>
    <t xml:space="preserve">₹ capex</t>
  </si>
  <si>
    <t xml:space="preserve">% of capex</t>
  </si>
  <si>
    <t xml:space="preserve">Refrigeration needs more upkeep</t>
  </si>
  <si>
    <t xml:space="preserve">R&amp;M – pre-cooling</t>
  </si>
  <si>
    <t xml:space="preserve">R&amp;M – cold storage</t>
  </si>
  <si>
    <t xml:space="preserve">R&amp;M – common services</t>
  </si>
  <si>
    <t xml:space="preserve">Insurance (fire, machinery, stock)</t>
  </si>
  <si>
    <t xml:space="preserve">Certifications: GlobalG.A.P., APEDA, FSSAI</t>
  </si>
  <si>
    <t xml:space="preserve">Packhouse site lease (4 acres at estate rent)</t>
  </si>
  <si>
    <t xml:space="preserve">DPR: lease from the family – terms open</t>
  </si>
  <si>
    <t xml:space="preserve">Admin overheads</t>
  </si>
  <si>
    <t xml:space="preserve">Cost-centre summary</t>
  </si>
  <si>
    <t xml:space="preserve">Opex (₹/yr)</t>
  </si>
  <si>
    <t xml:space="preserve">Interest share (₹/yr)</t>
  </si>
  <si>
    <t xml:space="preserve">Total (₹/yr)</t>
  </si>
  <si>
    <t xml:space="preserve">Tonnes through</t>
  </si>
  <si>
    <t xml:space="preserve">₹ per kg through</t>
  </si>
  <si>
    <t xml:space="preserve">TOTAL</t>
  </si>
  <si>
    <t xml:space="preserve">The pre-cooling and cold-storage rows above are the full cost of owning and running them: power, operators, repairs, plus their share of depreciation and interest. Rent benchmark if outsourced: ~₹0.30/kg/day [S26].</t>
  </si>
  <si>
    <t xml:space="preserve">Unit economics per kg of sellable fruit – banana export, banana domestic, papaya, Kesar mango</t>
  </si>
  <si>
    <t xml:space="preserve">Line-specific labour goes to its own fruit; pre-cooling, cold storage, loading and common costs are shared per kg. Includes a column per carton.</t>
  </si>
  <si>
    <t xml:space="preserve">Line item (₹/kg)</t>
  </si>
  <si>
    <t xml:space="preserve">How calculated</t>
  </si>
  <si>
    <t xml:space="preserve">Export CIF US$/carton × FX ÷ 13 kg</t>
  </si>
  <si>
    <t xml:space="preserve">Variable costs</t>
  </si>
  <si>
    <t xml:space="preserve">Fruit cost (own farm incl. farm depreciation / procurement)</t>
  </si>
  <si>
    <t xml:space="preserve">Banana: farm ₹/kg bunch × bunch per sellable kg. Others: (buy + inbound) ÷ pack-out</t>
  </si>
  <si>
    <t xml:space="preserve">Harvest crew (≤ ₹1,000/day)</t>
  </si>
  <si>
    <t xml:space="preserve">Harvest centre ₹/kg bunch × bunch per sellable kg</t>
  </si>
  <si>
    <t xml:space="preserve">Line labour (own line)</t>
  </si>
  <si>
    <t xml:space="preserve">Banana line ÷ banana kg; multi-fruit line ÷ papaya+mango kg</t>
  </si>
  <si>
    <t xml:space="preserve">Loading/unloading, chemicals, line power, packhouse staff &amp; R&amp;M</t>
  </si>
  <si>
    <t xml:space="preserve">Rest of packhouse centre opex ÷ all sellable kg</t>
  </si>
  <si>
    <t xml:space="preserve">PRE-COOLING (power, operator, R&amp;M)</t>
  </si>
  <si>
    <t xml:space="preserve">Pre-cooling centre opex ÷ all sellable kg</t>
  </si>
  <si>
    <t xml:space="preserve">COLD STORAGE (power, technicians, R&amp;M)</t>
  </si>
  <si>
    <t xml:space="preserve">Cold-storage centre opex ÷ all sellable kg</t>
  </si>
  <si>
    <t xml:space="preserve">₹ per box ÷ kg per box</t>
  </si>
  <si>
    <t xml:space="preserve">Export residue test &amp; container consumables</t>
  </si>
  <si>
    <t xml:space="preserve">Transport to port / to domestic buyer</t>
  </si>
  <si>
    <t xml:space="preserve">Export haulage; banana &amp; mango use the Ahmedabad/Mumbai/Delhi mix; papaya (short shelf life) goes to Ahmedabad/Mumbai only</t>
  </si>
  <si>
    <t xml:space="preserve">Port THC, CHA, customs, phyto</t>
  </si>
  <si>
    <t xml:space="preserve">Ocean freight (base)</t>
  </si>
  <si>
    <t xml:space="preserve">Switch on Inputs</t>
  </si>
  <si>
    <t xml:space="preserve">Insurance, bank/forex, claims / trade schemes, receivables</t>
  </si>
  <si>
    <t xml:space="preserve">% of price</t>
  </si>
  <si>
    <t xml:space="preserve">Total variable cost</t>
  </si>
  <si>
    <t xml:space="preserve">Contribution</t>
  </si>
  <si>
    <t xml:space="preserve">Shared fixed &amp; capital costs</t>
  </si>
  <si>
    <t xml:space="preserve">Common overheads (admin, security, sales, demand charges, insurance, certifications, site lease)</t>
  </si>
  <si>
    <t xml:space="preserve">Common centre ÷ all sellable kg</t>
  </si>
  <si>
    <t xml:space="preserve">Depreciation &amp; interest – packhouse, pre-cooling, cold storage</t>
  </si>
  <si>
    <t xml:space="preserve">All centres ÷ all sellable kg</t>
  </si>
  <si>
    <t xml:space="preserve">TOTAL COST</t>
  </si>
  <si>
    <t xml:space="preserve">NET MARGIN (₹/kg)</t>
  </si>
  <si>
    <t xml:space="preserve">Pre-tax</t>
  </si>
  <si>
    <t xml:space="preserve">Net margin per box / carton (₹)</t>
  </si>
  <si>
    <t xml:space="preserve">13 kg banana · 10 kg papaya · 3 kg mango</t>
  </si>
  <si>
    <t xml:space="preserve">Sellable volume (t/yr)</t>
  </si>
  <si>
    <t xml:space="preserve">Export breakeven CIF (US$ per 13 kg carton)</t>
  </si>
  <si>
    <t xml:space="preserve">Breakeven selling price (₹/kg)</t>
  </si>
  <si>
    <t xml:space="preserve">Banana price needed to beat selling at farm gate (₹/kg)</t>
  </si>
  <si>
    <t xml:space="preserve">Price at which packing &amp; selling nets the same per kg of bunch as the farm-gate price on Farm Plan (export column in US$/carton)</t>
  </si>
  <si>
    <t xml:space="preserve">Sensitivity – banana EXPORT net margin (₹/kg): CIF US$/carton (rows) × war-risk surcharge US$/reefer (columns)</t>
  </si>
  <si>
    <t xml:space="preserve">Export cost excl. surcharge &amp; %-items</t>
  </si>
  <si>
    <t xml:space="preserve">%-of-price items</t>
  </si>
  <si>
    <t xml:space="preserve">CIF US$/carton \ surcharge →</t>
  </si>
  <si>
    <t xml:space="preserve">Sensitivity – DOMESTIC net margin (₹/kg) by selling price</t>
  </si>
  <si>
    <t xml:space="preserve">Banana domestic: price ₹/kg →</t>
  </si>
  <si>
    <t xml:space="preserve">  net margin ₹/kg</t>
  </si>
  <si>
    <t xml:space="preserve">Papaya: price ₹/kg →</t>
  </si>
  <si>
    <t xml:space="preserve">Kesar mango: price ₹/kg →</t>
  </si>
  <si>
    <t xml:space="preserve">Waste streams – what can be sold, and the unit economics of each</t>
  </si>
  <si>
    <t xml:space="preserve">Banana culls → flour · pseudostem → fibre · sap → liquid fertiliser (blank) · stalks, papaya &amp; mango culls → vermicompost.</t>
  </si>
  <si>
    <t xml:space="preserve">A. Banana culls → green banana flour</t>
  </si>
  <si>
    <t xml:space="preserve">Banana culls available</t>
  </si>
  <si>
    <t xml:space="preserve">Operations tab (only fruit that went through the packhouse)</t>
  </si>
  <si>
    <t xml:space="preserve">Share processed into flour</t>
  </si>
  <si>
    <t xml:space="preserve">Fresh : flour</t>
  </si>
  <si>
    <t xml:space="preserve">kg per kg</t>
  </si>
  <si>
    <t xml:space="preserve">[S27] 4:1–5:1</t>
  </si>
  <si>
    <t xml:space="preserve">Flour output</t>
  </si>
  <si>
    <t xml:space="preserve">kg/yr</t>
  </si>
  <si>
    <t xml:space="preserve">Flour price (bulk B2B)</t>
  </si>
  <si>
    <t xml:space="preserve">[S27] ₹140–350/kg listings</t>
  </si>
  <si>
    <t xml:space="preserve">Drying energy</t>
  </si>
  <si>
    <t xml:space="preserve">kWh/kg flour</t>
  </si>
  <si>
    <t xml:space="preserve">Labour</t>
  </si>
  <si>
    <t xml:space="preserve">₹/kg flour</t>
  </si>
  <si>
    <t xml:space="preserve">Consumables &amp; testing</t>
  </si>
  <si>
    <t xml:space="preserve">Fixed: supervisor, FSSAI, marketing</t>
  </si>
  <si>
    <t xml:space="preserve">Capex: slicer, dryer, pulveriser, sealer</t>
  </si>
  <si>
    <t xml:space="preserve">PMFME: 35% subsidy up to ₹10 L</t>
  </si>
  <si>
    <t xml:space="preserve">Life</t>
  </si>
  <si>
    <t xml:space="preserve">Alternative: sell culls as-is</t>
  </si>
  <si>
    <t xml:space="preserve">[S20]</t>
  </si>
  <si>
    <t xml:space="preserve">Revenue</t>
  </si>
  <si>
    <t xml:space="preserve">Variable cost</t>
  </si>
  <si>
    <t xml:space="preserve">Depreciation</t>
  </si>
  <si>
    <t xml:space="preserve">Net profit</t>
  </si>
  <si>
    <t xml:space="preserve">Net margin per kg flour</t>
  </si>
  <si>
    <t xml:space="preserve">Gain vs selling culls as-is</t>
  </si>
  <si>
    <t xml:space="preserve">B. Pseudostem → banana fibre</t>
  </si>
  <si>
    <t xml:space="preserve">Pseudostem biomass</t>
  </si>
  <si>
    <t xml:space="preserve">Share collected for fibre</t>
  </si>
  <si>
    <t xml:space="preserve">Fibre yield</t>
  </si>
  <si>
    <t xml:space="preserve">[S28]</t>
  </si>
  <si>
    <t xml:space="preserve">Fibre output</t>
  </si>
  <si>
    <t xml:space="preserve">Raw fibre price</t>
  </si>
  <si>
    <t xml:space="preserve">[S29] ₹135–242/kg by grade</t>
  </si>
  <si>
    <t xml:space="preserve">Decorticator capacity</t>
  </si>
  <si>
    <t xml:space="preserve">kg/machine/day</t>
  </si>
  <si>
    <t xml:space="preserve">Working days</t>
  </si>
  <si>
    <t xml:space="preserve">Machines</t>
  </si>
  <si>
    <t xml:space="preserve">machines</t>
  </si>
  <si>
    <t xml:space="preserve">Machine cost</t>
  </si>
  <si>
    <t xml:space="preserve">₹/machine</t>
  </si>
  <si>
    <t xml:space="preserve">[S28] US$3–8k</t>
  </si>
  <si>
    <t xml:space="preserve">Workers per machine</t>
  </si>
  <si>
    <t xml:space="preserve">Power</t>
  </si>
  <si>
    <t xml:space="preserve">kWh/machine/day</t>
  </si>
  <si>
    <t xml:space="preserve">Collection &amp; haulage</t>
  </si>
  <si>
    <t xml:space="preserve">₹/t pseudostem</t>
  </si>
  <si>
    <t xml:space="preserve">Consumables</t>
  </si>
  <si>
    <t xml:space="preserve">₹/kg fibre</t>
  </si>
  <si>
    <t xml:space="preserve">Operating cost</t>
  </si>
  <si>
    <t xml:space="preserve">Depreciation (5 yrs, + ₹2 L shed/machine)</t>
  </si>
  <si>
    <t xml:space="preserve">Net margin per kg fibre</t>
  </si>
  <si>
    <t xml:space="preserve">Capex</t>
  </si>
  <si>
    <t xml:space="preserve">C. Pseudostem sap → liquid organic fertiliser</t>
  </si>
  <si>
    <t xml:space="preserve">Sap per tonne pseudostem</t>
  </si>
  <si>
    <t xml:space="preserve">litres/t</t>
  </si>
  <si>
    <t xml:space="preserve">Left blank</t>
  </si>
  <si>
    <t xml:space="preserve">Bulk selling price</t>
  </si>
  <si>
    <t xml:space="preserve">₹/litre</t>
  </si>
  <si>
    <t xml:space="preserve">[S30] only retail ₹400–850/L found</t>
  </si>
  <si>
    <t xml:space="preserve">Processing &amp; packing cost</t>
  </si>
  <si>
    <t xml:space="preserve">Net profit (computes once filled)</t>
  </si>
  <si>
    <t xml:space="preserve">D. Stalks, papaya &amp; mango culls → vermicompost</t>
  </si>
  <si>
    <t xml:space="preserve">Feedstock: stalks + unused banana culls + papaya &amp; mango culls + 10% pseudostem</t>
  </si>
  <si>
    <t xml:space="preserve">Conversion</t>
  </si>
  <si>
    <t xml:space="preserve">Vermicompost output</t>
  </si>
  <si>
    <t xml:space="preserve">Bulk price / value (own-farm use displaces FYM)</t>
  </si>
  <si>
    <t xml:space="preserve">[S31] ₹5–20/kg</t>
  </si>
  <si>
    <t xml:space="preserve">Labour + bagging</t>
  </si>
  <si>
    <t xml:space="preserve">Revenue / value</t>
  </si>
  <si>
    <t xml:space="preserve">Depreciation (5 yrs)</t>
  </si>
  <si>
    <t xml:space="preserve">Net margin per kg</t>
  </si>
  <si>
    <t xml:space="preserve">E. Not modelled</t>
  </si>
  <si>
    <t xml:space="preserve">Mango culls → pulp units</t>
  </si>
  <si>
    <t xml:space="preserve">Pulp makers buy culls in season; no reliable price found – sent to compost instead.</t>
  </si>
  <si>
    <t xml:space="preserve">Banana leaves</t>
  </si>
  <si>
    <t xml:space="preserve">Limited demand in Gujarat.</t>
  </si>
  <si>
    <t xml:space="preserve">Carbon credits</t>
  </si>
  <si>
    <t xml:space="preserve">Too small to verify.</t>
  </si>
  <si>
    <t xml:space="preserve">Summary</t>
  </si>
  <si>
    <t xml:space="preserve">By-product revenue</t>
  </si>
  <si>
    <t xml:space="preserve">By-product operating cost</t>
  </si>
  <si>
    <t xml:space="preserve">By-product EBITDA</t>
  </si>
  <si>
    <t xml:space="preserve">Consolidated annual P&amp;L – Sitpur farm + multi-fruit packhouse + pre-cooling + cold storage + by-products</t>
  </si>
  <si>
    <t xml:space="preserve">Column B follows Inputs (war-risk surcharge ON = Sep-2026). Column D = normalised year with no surcharge.</t>
  </si>
  <si>
    <t xml:space="preserve">Line item (₹/yr)</t>
  </si>
  <si>
    <t xml:space="preserve">As set on Inputs</t>
  </si>
  <si>
    <t xml:space="preserve">₹ per kg sellable</t>
  </si>
  <si>
    <t xml:space="preserve">Banana domestic premium</t>
  </si>
  <si>
    <t xml:space="preserve">Banana surplus sold at farm gate (not processed)</t>
  </si>
  <si>
    <t xml:space="preserve">Only if running days/capacity are too low</t>
  </si>
  <si>
    <t xml:space="preserve">Rotation crop (scenario)</t>
  </si>
  <si>
    <t xml:space="preserve">By-products</t>
  </si>
  <si>
    <t xml:space="preserve">TOTAL REVENUE</t>
  </si>
  <si>
    <t xml:space="preserve">Operating costs</t>
  </si>
  <si>
    <t xml:space="preserve">Farm: inputs + fixed costs (owner plan)</t>
  </si>
  <si>
    <t xml:space="preserve">Papaya &amp; mango procurement incl. inbound freight</t>
  </si>
  <si>
    <t xml:space="preserve">Packhouse lines opex (labour, loading, chemicals, power, staff, R&amp;M)</t>
  </si>
  <si>
    <t xml:space="preserve">PRE-COOLING opex</t>
  </si>
  <si>
    <t xml:space="preserve">COLD STORAGE opex</t>
  </si>
  <si>
    <t xml:space="preserve">Common overheads</t>
  </si>
  <si>
    <t xml:space="preserve">Packaging – all fruits</t>
  </si>
  <si>
    <t xml:space="preserve">Banana export logistics excl. surcharge</t>
  </si>
  <si>
    <t xml:space="preserve">Only difference between B and D</t>
  </si>
  <si>
    <t xml:space="preserve">Domestic reefer freight – all fruits</t>
  </si>
  <si>
    <t xml:space="preserve">Insurance, bank, claims, trade schemes, receivables</t>
  </si>
  <si>
    <t xml:space="preserve">Rotation crop costs (scenario)</t>
  </si>
  <si>
    <t xml:space="preserve">By-product processing</t>
  </si>
  <si>
    <t xml:space="preserve">TOTAL OPERATING COST</t>
  </si>
  <si>
    <t xml:space="preserve">EBITDA margin</t>
  </si>
  <si>
    <t xml:space="preserve">Depreciation – farm + packhouse/pre-cooling/cold storage + by-products</t>
  </si>
  <si>
    <t xml:space="preserve">Interest – packhouse loan (average)</t>
  </si>
  <si>
    <t xml:space="preserve">Farm plan has no borrowing modelled</t>
  </si>
  <si>
    <t xml:space="preserve">PROFIT BEFORE TAX</t>
  </si>
  <si>
    <t xml:space="preserve">Tax not computed: farm income may be exempt u/s 10(1); packhouse, trading and by-product income is taxable (DPR assumed 25%). Consult a CA.</t>
  </si>
  <si>
    <t xml:space="preserve">Cash &amp; returns (packhouse project)</t>
  </si>
  <si>
    <t xml:space="preserve">Packhouse + pre-cooling + cold storage + by-product capex</t>
  </si>
  <si>
    <t xml:space="preserve">Less: MIDH subsidy</t>
  </si>
  <si>
    <t xml:space="preserve">Net capex</t>
  </si>
  <si>
    <t xml:space="preserve">Packhouse business EBITDA after paying the farm the farm-gate price for its bananas</t>
  </si>
  <si>
    <t xml:space="preserve">Value the packhouse adds over selling at farm gate</t>
  </si>
  <si>
    <t xml:space="preserve">Payback of net packhouse capex on value added (years)</t>
  </si>
  <si>
    <t xml:space="preserve">Annual EMI</t>
  </si>
  <si>
    <t xml:space="preserve">Your farm plan &amp; Sitpur DPR vs this workbook</t>
  </si>
  <si>
    <t xml:space="preserve">What was taken from your documents, and where this model differs.</t>
  </si>
  <si>
    <t xml:space="preserve">Topic</t>
  </si>
  <si>
    <t xml:space="preserve">Farm plan / DPR</t>
  </si>
  <si>
    <t xml:space="preserve">This model</t>
  </si>
  <si>
    <t xml:space="preserve">Plants / yield / cycle</t>
  </si>
  <si>
    <t xml:space="preserve">1,200 plants/acre; 25 kg/plant plant &amp; ratoon; 11 + 8 months</t>
  </si>
  <si>
    <t xml:space="preserve">Same (Inputs)</t>
  </si>
  <si>
    <t xml:space="preserve">Ratoon 25 kg is optimistic per your plan's own note – test 20 kg.</t>
  </si>
  <si>
    <t xml:space="preserve">Annual banana output</t>
  </si>
  <si>
    <t xml:space="preserve">5,684 t (annualised)</t>
  </si>
  <si>
    <t xml:space="preserve">Matches when shortfall and rotation acres are 0.</t>
  </si>
  <si>
    <t xml:space="preserve">Inputs per plant</t>
  </si>
  <si>
    <t xml:space="preserve">₹125 plant / ₹50 ratoon</t>
  </si>
  <si>
    <t xml:space="preserve">Same</t>
  </si>
  <si>
    <t xml:space="preserve">Farm fixed costs</t>
  </si>
  <si>
    <t xml:space="preserve">₹195.19 L/yr</t>
  </si>
  <si>
    <t xml:space="preserve">Same line items; toggle for workers already inside per-plant inputs.</t>
  </si>
  <si>
    <t xml:space="preserve">Harvest handling</t>
  </si>
  <si>
    <t xml:space="preserve">₹10/plant (₹0.40/kg)</t>
  </si>
  <si>
    <t xml:space="preserve">Crew model ≤ ₹1,000/day (~₹1/kg)</t>
  </si>
  <si>
    <t xml:space="preserve">Uses your 13-person/13 t note and the ₹1,000/day cap.</t>
  </si>
  <si>
    <t xml:space="preserve">Farm capex</t>
  </si>
  <si>
    <t xml:space="preserve">₹138 L; depreciation ₹19.13 L/yr</t>
  </si>
  <si>
    <t xml:space="preserve">Packhouse design</t>
  </si>
  <si>
    <t xml:space="preserve">25 MT/day × ~300 days</t>
  </si>
  <si>
    <t xml:space="preserve">Same, plus 8 t/day multi-fruit line</t>
  </si>
  <si>
    <t xml:space="preserve">Running days drive capacity and costs.</t>
  </si>
  <si>
    <t xml:space="preserve">Ripening chamber</t>
  </si>
  <si>
    <t xml:space="preserve">20–25 MT, ₹45 L</t>
  </si>
  <si>
    <t xml:space="preserve">Not included</t>
  </si>
  <si>
    <t xml:space="preserve">You asked to sell pre-ripened (green) fruit. Add it back if you move to ripened supply for quick-commerce.</t>
  </si>
  <si>
    <t xml:space="preserve">20–25 MT</t>
  </si>
  <si>
    <t xml:space="preserve">Two chambers (banana / papaya+mango); room to stage export containers.</t>
  </si>
  <si>
    <t xml:space="preserve">₹172 L fixed</t>
  </si>
  <si>
    <t xml:space="preserve">Market listings for integrated packhouse + 3 pre-coolers; see Capex tab comparison.</t>
  </si>
  <si>
    <t xml:space="preserve">Sourcing</t>
  </si>
  <si>
    <t xml:space="preserve">Buy from growers at ₹14/kg + Sitpur anchor</t>
  </si>
  <si>
    <t xml:space="preserve">Own banana + procured papaya &amp; mango</t>
  </si>
  <si>
    <t xml:space="preserve">Buying outside banana can be added if the line has spare capacity.</t>
  </si>
  <si>
    <t xml:space="preserve">Prices</t>
  </si>
  <si>
    <t xml:space="preserve">Domestic ₹26/kg, export ₹30/kg (planning)</t>
  </si>
  <si>
    <t xml:space="preserve">Banana ₹28 domestic; CIF ₹51.7/kg export</t>
  </si>
  <si>
    <t xml:space="preserve">Your DPR says to validate against eNAM/APMC.</t>
  </si>
  <si>
    <t xml:space="preserve">Loan</t>
  </si>
  <si>
    <t xml:space="preserve">7 yrs @ 9.5%</t>
  </si>
  <si>
    <t xml:space="preserve">7 yrs @ 10.5% − 3% AIF</t>
  </si>
  <si>
    <t xml:space="preserve">Export gateway</t>
  </si>
  <si>
    <t xml:space="preserve">Hazira/Surat ~170 km</t>
  </si>
  <si>
    <t xml:space="preserve">Inland cost kept at your ₹60k (JNPT/Mundra); lower it if Hazira reefer services work.</t>
  </si>
  <si>
    <t xml:space="preserve">Farm wages</t>
  </si>
  <si>
    <t xml:space="preserve">50 workers × ₹400/day</t>
  </si>
  <si>
    <t xml:space="preserve">Unchanged</t>
  </si>
  <si>
    <t xml:space="preserve">Below Gujarat minimum wage (₹501–512/day) – flagged.</t>
  </si>
  <si>
    <t xml:space="preserve">Sitpur (Dabhoi, Vadodara) – location factors &amp; key risks</t>
  </si>
  <si>
    <t xml:space="preserve">Qualitative – supports the numbers.</t>
  </si>
  <si>
    <t xml:space="preserve">Factor</t>
  </si>
  <si>
    <t xml:space="preserve">Assessment</t>
  </si>
  <si>
    <t xml:space="preserve">Implication</t>
  </si>
  <si>
    <t xml:space="preserve">Source</t>
  </si>
  <si>
    <t xml:space="preserve">Site</t>
  </si>
  <si>
    <t xml:space="preserve">3–5 acre carve-out of Sitpur Estate (22.063° N, 73.479° E), Narmada-facing belt of Dabhoi taluka; banana on the estate since 2010.</t>
  </si>
  <si>
    <t xml:space="preserve">Zero-transport anchor supply; site lease from the family (terms open).</t>
  </si>
  <si>
    <t xml:space="preserve">DPR</t>
  </si>
  <si>
    <t xml:space="preserve">Connectivity</t>
  </si>
  <si>
    <t xml:space="preserve">Dabhoi Junction ~14 km; Vadodara ~55 km; Hazira/Surat ~170 km; Nhava Sheva ~430 km.</t>
  </si>
  <si>
    <t xml:space="preserve">Hazira could cut export haulage if reefer services suit.</t>
  </si>
  <si>
    <t xml:space="preserve">Fruit catchment</t>
  </si>
  <si>
    <t xml:space="preserve">Papaya: Anand &amp; Vadodara top papaya districts. Mango: Valsad/Navsari ~150–200 km, Gir ~400 km. Banana: Vadodara/Anand/Bharuch/Narmada.</t>
  </si>
  <si>
    <t xml:space="preserve">Papaya within same-day collection; mango needs longer inbound runs.</t>
  </si>
  <si>
    <t xml:space="preserve">[S34][S37][S4]</t>
  </si>
  <si>
    <t xml:space="preserve">Monoculture risk</t>
  </si>
  <si>
    <t xml:space="preserve">Banana on the same land since 2010 raises Fusarium wilt and nematode pressure.</t>
  </si>
  <si>
    <t xml:space="preserve">Rotation crop + green manure tab; clean TC plants.</t>
  </si>
  <si>
    <t xml:space="preserve">[S43]</t>
  </si>
  <si>
    <t xml:space="preserve">Gulf shipping (2026)</t>
  </si>
  <si>
    <t xml:space="preserve">Hormuz effectively closed; US$3,500–4,800/reefer surcharges; transits 20–30+ days.</t>
  </si>
  <si>
    <t xml:space="preserve">Banana export margin negative until surcharges ease.</t>
  </si>
  <si>
    <t xml:space="preserve">[S18][S19][S16]</t>
  </si>
  <si>
    <t xml:space="preserve">Ethylene &amp; temperature</t>
  </si>
  <si>
    <t xml:space="preserve">Banana, papaya, mango all ~13 °C, but papaya/mango emit ethylene.</t>
  </si>
  <si>
    <t xml:space="preserve">Two cold chambers; shared pre-cooling is fine with short dwell.</t>
  </si>
  <si>
    <t xml:space="preserve">[S44]</t>
  </si>
  <si>
    <t xml:space="preserve">Minimum wage ₹501.50–512.50/day; harvest/loading capped at ₹1,000/day by your rule.</t>
  </si>
  <si>
    <t xml:space="preserve">Plan's ₹400/day farm wage is below minimum.</t>
  </si>
  <si>
    <t xml:space="preserve">Subsidy</t>
  </si>
  <si>
    <t xml:space="preserve">MIDH 35%; APEDA FAS up to 40% for registered exporters; AIF 3% interest subvention.</t>
  </si>
  <si>
    <t xml:space="preserve">Included (MIDH + AIF).</t>
  </si>
  <si>
    <t xml:space="preserve">[S22][S23]</t>
  </si>
  <si>
    <t xml:space="preserve">Sources (accessed Sep-2026)</t>
  </si>
  <si>
    <t xml:space="preserve">Referenced as [S#]. Your documents: Banana Farm Business Plan (150 acres, Sep-2026) and Sitpur DPR (16-Sep-2026).</t>
  </si>
  <si>
    <t xml:space="preserve">#</t>
  </si>
  <si>
    <t xml:space="preserve">URL</t>
  </si>
  <si>
    <t xml:space="preserve">S1</t>
  </si>
  <si>
    <t xml:space="preserve">USD/INR 95.96 on 25-Sep-2026 (Trading Economics / Fed H.10)</t>
  </si>
  <si>
    <t xml:space="preserve">https://tradingeconomics.com/india/currency</t>
  </si>
  <si>
    <t xml:space="preserve">S2</t>
  </si>
  <si>
    <t xml:space="preserve">Grand Nain (G9) cultivation guide – spacing, 11–12 month maturity in Gujarat</t>
  </si>
  <si>
    <t xml:space="preserve">https://www.agrifarming.in/grand-nain-g9-banana-farming-in-india-a-cultivation-guide-to-planting-to-harvesting</t>
  </si>
  <si>
    <t xml:space="preserve">S3</t>
  </si>
  <si>
    <t xml:space="preserve">Agro Potli – Banana farming in India 2026: cost ₹84k–1.25 lakh/acre, TC ₹10–15/plant, yields 20–40 / 10–20 t/acre</t>
  </si>
  <si>
    <t xml:space="preserve">https://agropotli.com/banana-farming-in-india-complete-guide-2026/</t>
  </si>
  <si>
    <t xml:space="preserve">S4</t>
  </si>
  <si>
    <t xml:space="preserve">DeshGujarat – Gujarat banana productivity 65.91 t/ha; Bharuch 72.55 t/ha; cluster districts</t>
  </si>
  <si>
    <t xml:space="preserve">https://deshgujarat.com/2024/11/11/gujarat-ranks-3rd-in-banana-production-nationwide-tops-in-productivity-per-hectare-globally/</t>
  </si>
  <si>
    <t xml:space="preserve">S5</t>
  </si>
  <si>
    <t xml:space="preserve">Swasya – Cost to lease farmland in India 2025 (₹30,000–80,000/acre/yr irrigated)</t>
  </si>
  <si>
    <t xml:space="preserve">https://www.swasya.com/blog/cost-to-lease-farmland-in-india</t>
  </si>
  <si>
    <t xml:space="preserve">S6</t>
  </si>
  <si>
    <t xml:space="preserve">Gujarat minimum wages 1-Apr-2026 to 30-Sep-2026 (₹512.50/₹501.50 per day unskilled)</t>
  </si>
  <si>
    <t xml:space="preserve">https://www.sgcms.com/regulatory-updates/minimum-rate-of-wages-gujarat-april-2026/</t>
  </si>
  <si>
    <t xml:space="preserve">S7</t>
  </si>
  <si>
    <t xml:space="preserve">Comparative economics of banana cultivation in Anand district (160.6 man-days/ha on drip farms; plantlets ~22.7% of cost)</t>
  </si>
  <si>
    <t xml:space="preserve">https://www.researchgate.net/publication/304528951_Comparative_economics_of_Banana_cultivation_in_Anand_district_of_Gujarat</t>
  </si>
  <si>
    <t xml:space="preserve">S8</t>
  </si>
  <si>
    <t xml:space="preserve">Netafim India – Cost and ROI of banana drip irrigation per acre (~₹25,000)</t>
  </si>
  <si>
    <t xml:space="preserve">https://www.netafimindia.com/blog/cost-and-roi-of-banana-drip-irrigation-per-acre/</t>
  </si>
  <si>
    <t xml:space="preserve">S9</t>
  </si>
  <si>
    <t xml:space="preserve">IndiaMART – Banana 13 kg export corrugated box ₹84/piece (Nashik)</t>
  </si>
  <si>
    <t xml:space="preserve">https://www.indiamart.com/proddetail/banana-13-kg-export-corrugated-packing-box-23108020130.html</t>
  </si>
  <si>
    <t xml:space="preserve">S10</t>
  </si>
  <si>
    <t xml:space="preserve">Exim Internationals – Cavendish banana export packaging specs 2026</t>
  </si>
  <si>
    <t xml:space="preserve">https://eximinternationals.com/cavendish-banana-export-packaging-specifications/</t>
  </si>
  <si>
    <t xml:space="preserve">S11</t>
  </si>
  <si>
    <t xml:space="preserve">Exim Internationals – Import bananas from India to UAE (40' HC ≈1,540 boxes, 13–14 °C)</t>
  </si>
  <si>
    <t xml:space="preserve">https://eximinternationals.com/import-bananas-from-india-to-uae</t>
  </si>
  <si>
    <t xml:space="preserve">S12</t>
  </si>
  <si>
    <t xml:space="preserve">Natural Fiber Company – Banana pseudostem volumes (60–220 t/ha; ~3 t waste per t fruit)</t>
  </si>
  <si>
    <t xml:space="preserve">https://www.naturalfibercompany.com/blogs/news/the-agro-waste-problem-banana-cultivation-pseudostem-volumes-and-the-climate-cost-of-current-disposal-practices</t>
  </si>
  <si>
    <t xml:space="preserve">S13</t>
  </si>
  <si>
    <t xml:space="preserve">Bridgeway Power – Gujarat GERC HT tariff 2026-27 (effective ₹7.50–8.50/unit); Mercom – FY2026/27 tariffs retained</t>
  </si>
  <si>
    <t xml:space="preserve">https://bridgewaypower.in/blog/gujarat-gerc-ht-tariff-2026-27</t>
  </si>
  <si>
    <t xml:space="preserve">S14</t>
  </si>
  <si>
    <t xml:space="preserve">Al Aweer (Dubai) wholesale market prices – Indian banana AED 16–30 per 13 kg</t>
  </si>
  <si>
    <t xml:space="preserve">https://al-aweer-wholesale-market-price.blogspot.com/</t>
  </si>
  <si>
    <t xml:space="preserve">S15</t>
  </si>
  <si>
    <t xml:space="preserve">Exim Internationals – Cavendish banana to UAE ($12–16/13 kg CIF list quotes; CEPA zero duty)</t>
  </si>
  <si>
    <t xml:space="preserve">https://eximinternationals.com/import-cavendish-banana-to-uae/</t>
  </si>
  <si>
    <t xml:space="preserve">S16</t>
  </si>
  <si>
    <t xml:space="preserve">FreshPlaza – Middle East war halts India's banana exports, prices plunge 33%; export setback costs growers (2026)</t>
  </si>
  <si>
    <t xml:space="preserve">https://www.freshplaza.com/north-america/article/9815802/middle-east-war-halts-india-s-banana-exports-prices-plunge-33/</t>
  </si>
  <si>
    <t xml:space="preserve">S17</t>
  </si>
  <si>
    <t xml:space="preserve">Globy – Mundra → Jebel Ali 40' container freight</t>
  </si>
  <si>
    <t xml:space="preserve">https://globy.com/quick-logistics/from-india/from-mundra/to-united-arab-emirates/to-jebel-ali</t>
  </si>
  <si>
    <t xml:space="preserve">S18</t>
  </si>
  <si>
    <t xml:space="preserve">TTL – War-risk surcharge on Gulf shipping, verified carrier rates (MSC $4,000/reefer, Hapag-Lloyd $3,500/reefer)</t>
  </si>
  <si>
    <t xml:space="preserve">https://www.ttl-co.com/en/blog/war-risk-surcharge-gulf-shipping-2026</t>
  </si>
  <si>
    <t xml:space="preserve">S19</t>
  </si>
  <si>
    <t xml:space="preserve">Straits.live – Strait of Hormuz status tracker (effectively closed, 25-Sep-2026; Maersk 9-Sep update, reefer surcharge up to $4,800)</t>
  </si>
  <si>
    <t xml:space="preserve">https://straits.live/</t>
  </si>
  <si>
    <t xml:space="preserve">S20</t>
  </si>
  <si>
    <t xml:space="preserve">Gujarat banana mandi prices Aug-2026 (₹1,200–4,500/quintal); Vadodara wholesale/retail</t>
  </si>
  <si>
    <t xml:space="preserve">https://mandipulse.com/mandi-bhav/gujarat/banana</t>
  </si>
  <si>
    <t xml:space="preserve">S21</t>
  </si>
  <si>
    <t xml:space="preserve">BigBasket – Robusta banana retail prices</t>
  </si>
  <si>
    <t xml:space="preserve">https://www.bigbasket.com/pd/10000025/fresho-banana-robusta-1-kg/</t>
  </si>
  <si>
    <t xml:space="preserve">S22</t>
  </si>
  <si>
    <t xml:space="preserve">MIDH Operational Guidelines 2025 (35% general / 50% NE &amp; hilly credit-linked back-ended subsidy; PHM cost norms)</t>
  </si>
  <si>
    <t xml:space="preserve">https://nhb.gov.in/writereaddata/082825102800MIDH%20Guideline%202025.pdf</t>
  </si>
  <si>
    <t xml:space="preserve">S23</t>
  </si>
  <si>
    <t xml:space="preserve">Agriculture Infrastructure Fund 2026 – 3% subvention up to ₹2 crore, 7 years; bank rate 10–12%</t>
  </si>
  <si>
    <t xml:space="preserve">https://schemesinindia.in/central/agri-infrastructure-fund</t>
  </si>
  <si>
    <t xml:space="preserve">S24</t>
  </si>
  <si>
    <t xml:space="preserve">IndiaMART – Integrated grading/packing pack house ₹90 lakh/unit (Surat)</t>
  </si>
  <si>
    <t xml:space="preserve">https://www.indiamart.com/proddetail/integrated-garding-packing-pack-house-25383226455.html</t>
  </si>
  <si>
    <t xml:space="preserve">S25</t>
  </si>
  <si>
    <t xml:space="preserve">Phoenixx Smartbuild – Cold storage cost per MT in India 2026 (₹14,000–18,000/MT multi-commodity)</t>
  </si>
  <si>
    <t xml:space="preserve">https://phoenixxsmartbuild.com/resources/blogs/cold-storage-cost-per-mt-india</t>
  </si>
  <si>
    <t xml:space="preserve">S26</t>
  </si>
  <si>
    <t xml:space="preserve">NSSPL – Banana ripening chamber project cost / rental (~₹0.3/kg/day)</t>
  </si>
  <si>
    <t xml:space="preserve">https://www.nsspl.in/banana-ripening-chamber-project-cost/</t>
  </si>
  <si>
    <t xml:space="preserve">S27</t>
  </si>
  <si>
    <t xml:space="preserve">IndiaMART – Green banana flour wholesale ₹140–350/kg; 4–5:1 conversion</t>
  </si>
  <si>
    <t xml:space="preserve">https://dir.indiamart.com/impcat/banana-flour.html</t>
  </si>
  <si>
    <t xml:space="preserve">S28</t>
  </si>
  <si>
    <t xml:space="preserve">Natural Fiber Company – Banana fibre extraction methods &amp; machines (20–30 kg/day; $3,000–8,000 per decorticator); cultivar fibre yield 0.55–0.89%</t>
  </si>
  <si>
    <t xml:space="preserve">https://www.naturalfibercompany.com/blogs/banana-fiber-sustainable-textiles/banana-fiber-extraction-process-methods-machines-commercial-scale</t>
  </si>
  <si>
    <t xml:space="preserve">S29</t>
  </si>
  <si>
    <t xml:space="preserve">IndiaMART – Banana fibre prices (₹135–242/kg by grade, Feb-2026)</t>
  </si>
  <si>
    <t xml:space="preserve">https://dir.indiamart.com/impcat/banana-fiber.html</t>
  </si>
  <si>
    <t xml:space="preserve">S30</t>
  </si>
  <si>
    <t xml:space="preserve">IndiaMART – Banana pseudostem-based organic liquid fertiliser (NAU patent) ₹850/L retail</t>
  </si>
  <si>
    <t xml:space="preserve">https://www.indiamart.com/proddetail/banana-pseudostem-based-organic-liquid-fertilizer-21091753830.html</t>
  </si>
  <si>
    <t xml:space="preserve">S31</t>
  </si>
  <si>
    <t xml:space="preserve">IndiaMART – Vermicompost prices, Ahmedabad/Rajkot 2026 (₹5–40/kg)</t>
  </si>
  <si>
    <t xml:space="preserve">https://dir.indiamart.com/ahmedabad/vermi-compost-fertilizer.html</t>
  </si>
  <si>
    <t xml:space="preserve">S32</t>
  </si>
  <si>
    <t xml:space="preserve">Desai Fruits &amp; Vegetables (Navsari) – NHB case study of a Gujarat premium banana integrator ('Happy Banana', 5,000+ export containers)</t>
  </si>
  <si>
    <t xml:space="preserve">https://nhb.gov.in/Training/Brochure/FRT_Banana_DesaiFruits.pdf</t>
  </si>
  <si>
    <t xml:space="preserve">S33</t>
  </si>
  <si>
    <t xml:space="preserve">Fmax / Cooling India – cold room power requirements (60–70 W/m³ fresh fruit; 2.2–3.4 m³ per tonne)</t>
  </si>
  <si>
    <t xml:space="preserve">https://www.fmax.in/cold-room-power-requirements-how-to-calculate/</t>
  </si>
  <si>
    <t xml:space="preserve">S34</t>
  </si>
  <si>
    <t xml:space="preserve">Kisandeals – papaya rate Gujarat ₹10/kg (Feb-2026); Economics of papaya in Middle Gujarat (Anand &amp; Vadodara largest papaya area)</t>
  </si>
  <si>
    <t xml:space="preserve">https://www.kisandeals.com/mandiprices/PAPAYA/GUJARAT/ALL</t>
  </si>
  <si>
    <t xml:space="preserve">S35</t>
  </si>
  <si>
    <t xml:space="preserve">BigBasket – papaya ₹61–81; Kesar mango ₹407/kg (2026)</t>
  </si>
  <si>
    <t xml:space="preserve">https://www.bigbasket.com/pd/30000974/fresho-kesar-mango-1-kg/</t>
  </si>
  <si>
    <t xml:space="preserve">S36</t>
  </si>
  <si>
    <t xml:space="preserve">IndiaMART – mango corrugated boxes ₹15–45/piece</t>
  </si>
  <si>
    <t xml:space="preserve">https://www.indiamart.com/proddetail/mango-corrugated-box-20091039688.html</t>
  </si>
  <si>
    <t xml:space="preserve">S37</t>
  </si>
  <si>
    <t xml:space="preserve">Kesar mango season &amp; production districts (April arrival; May–June main season)</t>
  </si>
  <si>
    <t xml:space="preserve">https://www.vibesofindia.com/early-bloom-signals-april-arrival-for-gujarats-kesar-mangoes/</t>
  </si>
  <si>
    <t xml:space="preserve">S38</t>
  </si>
  <si>
    <t xml:space="preserve">IndiaMART – Kesar mango Talala: APMC ₹70–75/kg late Apr-2026; ₹40–133/kg by grade; 10 kg box ₹1,500</t>
  </si>
  <si>
    <t xml:space="preserve">https://dir.indiamart.com/talala/kesar-mango.html</t>
  </si>
  <si>
    <t xml:space="preserve">S39</t>
  </si>
  <si>
    <t xml:space="preserve">Agrifarming – Red Lady papaya farming (1,200 plants/acre, 30–50 t/acre, ₹70–90k/acre)</t>
  </si>
  <si>
    <t xml:space="preserve">https://www.agrifarming.in/red-lady-taiwan-papaya-farming-in-india-how-to-start-yield-care-and-management</t>
  </si>
  <si>
    <t xml:space="preserve">S40</t>
  </si>
  <si>
    <t xml:space="preserve">Economic analysis of watermelon, Banaskantha, Gujarat (₹2,04,696/ha cost C2); Kisandeals watermelon Gujarat ₹4–6.25/kg</t>
  </si>
  <si>
    <t xml:space="preserve">https://journalajaees.com/index.php/AJAEES/article/view/2190</t>
  </si>
  <si>
    <t xml:space="preserve">S41</t>
  </si>
  <si>
    <t xml:space="preserve">Apni Kheti – sunhemp/dhaincha green manure (20 kg/acre); IndiaMART dhaincha seed ₹2,850/25 kg</t>
  </si>
  <si>
    <t xml:space="preserve">https://www.apnikheti.com/en/pn/agriculture/crops/green-manure/sunhemp</t>
  </si>
  <si>
    <t xml:space="preserve">S42</t>
  </si>
  <si>
    <t xml:space="preserve">FreshPlaza – Gujarat watermelons lead India's 2026 export start (Mahuva; prices +20–30%)</t>
  </si>
  <si>
    <t xml:space="preserve">https://www.freshplaza.com/north-america/article/9814720/gujarat-watermelons-lead-india-s-strong-2026-export-start/</t>
  </si>
  <si>
    <t xml:space="preserve">S43</t>
  </si>
  <si>
    <t xml:space="preserve">ProMusa – crop rotation for banana (rice, sugarcane, pumpkin/wax gourd reduce Fusarium wilt &amp; nematodes)</t>
  </si>
  <si>
    <t xml:space="preserve">https://www.promusa.org/Crop+rotation</t>
  </si>
  <si>
    <t xml:space="preserve">S44</t>
  </si>
  <si>
    <t xml:space="preserve">Produce storage compatibility &amp; ethylene guidelines (banana, mango, papaya chilling-sensitive, ~13 °C group)</t>
  </si>
  <si>
    <t xml:space="preserve">https://wscpantry.org/wp-content/uploads/2024/01/TEMP_GUIDELINES.pdf</t>
  </si>
  <si>
    <t xml:space="preserve">S45</t>
  </si>
  <si>
    <t xml:space="preserve">Commodity Online – sapota Valsad ₹750–1,250/quintal (Apr-2026); JETIR sapota value chain (90% to Delhi)</t>
  </si>
  <si>
    <t xml:space="preserve">https://www.commodityonline.com/mandiprices/chikoos-sapota/gujarat/valsad</t>
  </si>
  <si>
    <t xml:space="preserve">S46</t>
  </si>
  <si>
    <t xml:space="preserve">IndiaMART – pomegranate Kutch ₹30/kg A-grade (Jun-2026); Gujarat wholesale ₹115/kg</t>
  </si>
  <si>
    <t xml:space="preserve">https://dir.indiamart.com/kutch/fresh-pomegranates.html</t>
  </si>
  <si>
    <t xml:space="preserve">Cost Component</t>
  </si>
  <si>
    <t xml:space="preserve">Cost per KG (INR)</t>
  </si>
  <si>
    <t xml:space="preserve">Cost per Container (INR)</t>
  </si>
  <si>
    <t xml:space="preserve">Notes / Details</t>
  </si>
  <si>
    <t xml:space="preserve">Your original draft – kept unchanged for reference. The model tabs replace these figures.</t>
  </si>
  <si>
    <t xml:space="preserve">Raw Banana Procurement</t>
  </si>
  <si>
    <t xml:space="preserve">₹15.00</t>
  </si>
  <si>
    <t xml:space="preserve">₹3,00,300</t>
  </si>
  <si>
    <t xml:space="preserve">Average annualized price (Fluctuates between ₹11 in peak season to ₹21 in lean season).</t>
  </si>
  <si>
    <t xml:space="preserve">Rejection Allowance (5%)</t>
  </si>
  <si>
    <t xml:space="preserve">₹0.75</t>
  </si>
  <si>
    <t xml:space="preserve">₹15,015</t>
  </si>
  <si>
    <t xml:space="preserve">Covers field-bruised, undersized, or over-mature fruits sorted out at your packhouse.</t>
  </si>
  <si>
    <t xml:space="preserve">Export-Grade Packaging</t>
  </si>
  <si>
    <t xml:space="preserve">₹6.50</t>
  </si>
  <si>
    <t xml:space="preserve">₹1,30,130</t>
  </si>
  <si>
    <t xml:space="preserve">Includes 5-ply Top/Bottom Telescopic CFB Box, 100-gauge Polybag/Foam pad, and branded stickers.</t>
  </si>
  <si>
    <t xml:space="preserve">Understated</t>
  </si>
  <si>
    <t xml:space="preserve">A real 13kg telescopic export carton (the exact box type named) sells for ~₹84/piece — that alone is ₹6.46/kg, leaving almost nothing in the ₹6.50 budget for the poly liner/Banavac bag, foam pad, and stickers the line item says it covers</t>
  </si>
  <si>
    <t xml:space="preserve">₹8–10/kg</t>
  </si>
  <si>
    <t xml:space="preserve">Packhouse Consumables</t>
  </si>
  <si>
    <t xml:space="preserve">₹0.40</t>
  </si>
  <si>
    <t xml:space="preserve">₹8,008</t>
  </si>
  <si>
    <t xml:space="preserve">Alum wash, food-grade post-harvest fungicide treatment, and fresh water.</t>
  </si>
  <si>
    <t xml:space="preserve">Boxes</t>
  </si>
  <si>
    <t xml:space="preserve">Plastic liners/foam sheet</t>
  </si>
  <si>
    <t xml:space="preserve">chemical treatment</t>
  </si>
  <si>
    <t xml:space="preserve">power</t>
  </si>
  <si>
    <t xml:space="preserve">administrative overheads</t>
  </si>
  <si>
    <t xml:space="preserve">Direct Labour</t>
  </si>
  <si>
    <t xml:space="preserve">₹1.50</t>
  </si>
  <si>
    <t xml:space="preserve">₹30,030</t>
  </si>
  <si>
    <t xml:space="preserve">De-handing, washing, grading, weighing, and packing staff.</t>
  </si>
  <si>
    <t xml:space="preserve">Power &amp; Utilities</t>
  </si>
  <si>
    <t xml:space="preserve">₹0.50</t>
  </si>
  <si>
    <t xml:space="preserve">₹10,010</t>
  </si>
  <si>
    <t xml:space="preserve">Running water pumps, conveyers, and blast pre-cooling units.</t>
  </si>
  <si>
    <t xml:space="preserve">Inland Logistics (Port)</t>
  </si>
  <si>
    <t xml:space="preserve">₹3.00</t>
  </si>
  <si>
    <t xml:space="preserve">₹60,060</t>
  </si>
  <si>
    <t xml:space="preserve">Transport from packhouse to JNPT (Mumbai) / Mundra port via a temperature-controlled reefer truck.</t>
  </si>
  <si>
    <t xml:space="preserve">Customs, CHA &amp; APEDA</t>
  </si>
  <si>
    <t xml:space="preserve">₹1.00</t>
  </si>
  <si>
    <t xml:space="preserve">₹20,020</t>
  </si>
  <si>
    <t xml:space="preserve">Custom House Agent charges, Phytosanitary certificate, and documentation.</t>
  </si>
  <si>
    <t xml:space="preserve">Ocean Freight (India to UAE)</t>
  </si>
  <si>
    <t xml:space="preserve">₹4.50</t>
  </si>
  <si>
    <t xml:space="preserve">₹90,090</t>
  </si>
  <si>
    <t xml:space="preserve">Average sea freight cost for a refrigerated container (~$1,000 – $1,200 USD).</t>
  </si>
  <si>
    <t xml:space="preserve">Reefer-specific rates (not standard dry container) run $1,500–3,000 once you add the power/genset surcharge reefers carry</t>
  </si>
  <si>
    <t xml:space="preserve">₹7–8/kg</t>
  </si>
  <si>
    <t xml:space="preserve">TOTAL landed cost (CIF Dubai)</t>
  </si>
  <si>
    <t xml:space="preserve">₹33.15</t>
  </si>
  <si>
    <t xml:space="preserve">₹6,63,663</t>
  </si>
  <si>
    <t xml:space="preserve">Your total break-even cost landed at Jebel Ali Port.</t>
  </si>
  <si>
    <t xml:space="preserve">Fixed Costs</t>
  </si>
  <si>
    <t xml:space="preserve">Employees</t>
  </si>
  <si>
    <t xml:space="preserve">Interest on loan</t>
  </si>
  <si>
    <t xml:space="preserve">Cold storage cost</t>
  </si>
  <si>
    <t xml:space="preserve">Farming Input Cost</t>
  </si>
  <si>
    <t xml:space="preserve">fertiliser</t>
  </si>
  <si>
    <t xml:space="preserve">seeds</t>
  </si>
  <si>
    <t xml:space="preserve">crop protection</t>
  </si>
  <si>
    <t xml:space="preserve">water</t>
  </si>
  <si>
    <t xml:space="preserve">labour</t>
  </si>
  <si>
    <t xml:space="preserve">rent</t>
  </si>
  <si>
    <t xml:space="preserve">Post harvest management cost</t>
  </si>
  <si>
    <t xml:space="preserve">13 tonnes requires 10 people 1000 rs per day</t>
  </si>
  <si>
    <t xml:space="preserve">3 harvesters 1000rs per day</t>
  </si>
  <si>
    <t xml:space="preserve">Pack house fixed cost</t>
  </si>
  <si>
    <t xml:space="preserve">electricity</t>
  </si>
  <si>
    <t xml:space="preserve">cold storage</t>
  </si>
  <si>
    <t xml:space="preserve">admin</t>
  </si>
  <si>
    <t xml:space="preserve">labour manager</t>
  </si>
  <si>
    <t xml:space="preserve">rental</t>
  </si>
  <si>
    <t xml:space="preserve">How many days is the banana harvest there</t>
  </si>
  <si>
    <t xml:space="preserve">Packhouse and cold storage ka variable and fixed cost</t>
  </si>
  <si>
    <t xml:space="preserve">banana packhouse location macro factors</t>
  </si>
  <si>
    <t xml:space="preserve">2 crop seasonality choice</t>
  </si>
  <si>
    <t xml:space="preserve">depreciation</t>
  </si>
  <si>
    <t xml:space="preserve">interest</t>
  </si>
  <si>
    <t xml:space="preserve">kg wise and box</t>
  </si>
  <si>
    <t xml:space="preserve">price fluctuation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</si>
</sst>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\₹#,##0;&quot;(₹&quot;#,##0\);\-"/>
    <numFmt numFmtId="168" formatCode="\₹#,##0.00;&quot;(₹&quot;#,##0.00\);\-"/>
    <numFmt numFmtId="169" formatCode="#,##0.0;\(#,##0.0\);\-"/>
    <numFmt numFmtId="170" formatCode="\$#,##0.00;&quot;($&quot;#,##0.00\);\-"/>
    <numFmt numFmtId="171" formatCode="\$#,##0;&quot;($&quot;#,##0\);\-"/>
    <numFmt numFmtId="172" formatCode="0.0%"/>
    <numFmt numFmtId="173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000000"/>
      <name val="&quot;Google Sans&quot;"/>
      <family val="0"/>
      <charset val="1"/>
    </font>
    <font>
      <sz val="11"/>
      <color rgb="FF000000"/>
      <name val="&quot;Google Sans&quot;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E2EFDA"/>
      </patternFill>
    </fill>
    <fill>
      <patternFill patternType="solid">
        <fgColor rgb="FF1F4E3D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AD3"/>
      </patternFill>
    </fill>
    <fill>
      <patternFill patternType="solid">
        <fgColor rgb="FFF4CCCC"/>
        <bgColor rgb="FFDCDF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DC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C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tradingeconomics.com/india/currency" TargetMode="External"/><Relationship Id="rId2" Type="http://schemas.openxmlformats.org/officeDocument/2006/relationships/hyperlink" Target="https://www.agrifarming.in/grand-nain-g9-banana-farming-in-india-a-cultivation-guide-to-planting-to-harvesting" TargetMode="External"/><Relationship Id="rId3" Type="http://schemas.openxmlformats.org/officeDocument/2006/relationships/hyperlink" Target="https://agropotli.com/banana-farming-in-india-complete-guide-2026/" TargetMode="External"/><Relationship Id="rId4" Type="http://schemas.openxmlformats.org/officeDocument/2006/relationships/hyperlink" Target="https://deshgujarat.com/2024/11/11/gujarat-ranks-3rd-in-banana-production-nationwide-tops-in-productivity-per-hectare-globally/" TargetMode="External"/><Relationship Id="rId5" Type="http://schemas.openxmlformats.org/officeDocument/2006/relationships/hyperlink" Target="https://www.swasya.com/blog/cost-to-lease-farmland-in-india" TargetMode="External"/><Relationship Id="rId6" Type="http://schemas.openxmlformats.org/officeDocument/2006/relationships/hyperlink" Target="https://www.sgcms.com/regulatory-updates/minimum-rate-of-wages-gujarat-april-2026/" TargetMode="External"/><Relationship Id="rId7" Type="http://schemas.openxmlformats.org/officeDocument/2006/relationships/hyperlink" Target="https://www.researchgate.net/publication/304528951_Comparative_economics_of_Banana_cultivation_in_Anand_district_of_Gujarat" TargetMode="External"/><Relationship Id="rId8" Type="http://schemas.openxmlformats.org/officeDocument/2006/relationships/hyperlink" Target="https://www.netafimindia.com/blog/cost-and-roi-of-banana-drip-irrigation-per-acre/" TargetMode="External"/><Relationship Id="rId9" Type="http://schemas.openxmlformats.org/officeDocument/2006/relationships/hyperlink" Target="https://www.indiamart.com/proddetail/banana-13-kg-export-corrugated-packing-box-23108020130.html" TargetMode="External"/><Relationship Id="rId10" Type="http://schemas.openxmlformats.org/officeDocument/2006/relationships/hyperlink" Target="https://eximinternationals.com/cavendish-banana-export-packaging-specifications/" TargetMode="External"/><Relationship Id="rId11" Type="http://schemas.openxmlformats.org/officeDocument/2006/relationships/hyperlink" Target="https://eximinternationals.com/import-bananas-from-india-to-uae" TargetMode="External"/><Relationship Id="rId12" Type="http://schemas.openxmlformats.org/officeDocument/2006/relationships/hyperlink" Target="https://www.naturalfibercompany.com/blogs/news/the-agro-waste-problem-banana-cultivation-pseudostem-volumes-and-the-climate-cost-of-current-disposal-practices" TargetMode="External"/><Relationship Id="rId13" Type="http://schemas.openxmlformats.org/officeDocument/2006/relationships/hyperlink" Target="https://bridgewaypower.in/blog/gujarat-gerc-ht-tariff-2026-27" TargetMode="External"/><Relationship Id="rId14" Type="http://schemas.openxmlformats.org/officeDocument/2006/relationships/hyperlink" Target="https://al-aweer-wholesale-market-price.blogspot.com/" TargetMode="External"/><Relationship Id="rId15" Type="http://schemas.openxmlformats.org/officeDocument/2006/relationships/hyperlink" Target="https://eximinternationals.com/import-cavendish-banana-to-uae/" TargetMode="External"/><Relationship Id="rId16" Type="http://schemas.openxmlformats.org/officeDocument/2006/relationships/hyperlink" Target="https://www.freshplaza.com/north-america/article/9815802/middle-east-war-halts-india-s-banana-exports-prices-plunge-33/" TargetMode="External"/><Relationship Id="rId17" Type="http://schemas.openxmlformats.org/officeDocument/2006/relationships/hyperlink" Target="https://globy.com/quick-logistics/from-india/from-mundra/to-united-arab-emirates/to-jebel-ali" TargetMode="External"/><Relationship Id="rId18" Type="http://schemas.openxmlformats.org/officeDocument/2006/relationships/hyperlink" Target="https://www.ttl-co.com/en/blog/war-risk-surcharge-gulf-shipping-2026" TargetMode="External"/><Relationship Id="rId19" Type="http://schemas.openxmlformats.org/officeDocument/2006/relationships/hyperlink" Target="https://straits.live/" TargetMode="External"/><Relationship Id="rId20" Type="http://schemas.openxmlformats.org/officeDocument/2006/relationships/hyperlink" Target="https://mandipulse.com/mandi-bhav/gujarat/banana" TargetMode="External"/><Relationship Id="rId21" Type="http://schemas.openxmlformats.org/officeDocument/2006/relationships/hyperlink" Target="https://www.bigbasket.com/pd/10000025/fresho-banana-robusta-1-kg/" TargetMode="External"/><Relationship Id="rId22" Type="http://schemas.openxmlformats.org/officeDocument/2006/relationships/hyperlink" Target="https://nhb.gov.in/writereaddata/082825102800MIDH%20Guideline%202025.pdf" TargetMode="External"/><Relationship Id="rId23" Type="http://schemas.openxmlformats.org/officeDocument/2006/relationships/hyperlink" Target="https://schemesinindia.in/central/agri-infrastructure-fund" TargetMode="External"/><Relationship Id="rId24" Type="http://schemas.openxmlformats.org/officeDocument/2006/relationships/hyperlink" Target="https://www.indiamart.com/proddetail/integrated-garding-packing-pack-house-25383226455.html" TargetMode="External"/><Relationship Id="rId25" Type="http://schemas.openxmlformats.org/officeDocument/2006/relationships/hyperlink" Target="https://phoenixxsmartbuild.com/resources/blogs/cold-storage-cost-per-mt-india" TargetMode="External"/><Relationship Id="rId26" Type="http://schemas.openxmlformats.org/officeDocument/2006/relationships/hyperlink" Target="https://www.nsspl.in/banana-ripening-chamber-project-cost/" TargetMode="External"/><Relationship Id="rId27" Type="http://schemas.openxmlformats.org/officeDocument/2006/relationships/hyperlink" Target="https://dir.indiamart.com/impcat/banana-flour.html" TargetMode="External"/><Relationship Id="rId28" Type="http://schemas.openxmlformats.org/officeDocument/2006/relationships/hyperlink" Target="https://www.naturalfibercompany.com/blogs/banana-fiber-sustainable-textiles/banana-fiber-extraction-process-methods-machines-commercial-scale" TargetMode="External"/><Relationship Id="rId29" Type="http://schemas.openxmlformats.org/officeDocument/2006/relationships/hyperlink" Target="https://dir.indiamart.com/impcat/banana-fiber.html" TargetMode="External"/><Relationship Id="rId30" Type="http://schemas.openxmlformats.org/officeDocument/2006/relationships/hyperlink" Target="https://www.indiamart.com/proddetail/banana-pseudostem-based-organic-liquid-fertilizer-21091753830.html" TargetMode="External"/><Relationship Id="rId31" Type="http://schemas.openxmlformats.org/officeDocument/2006/relationships/hyperlink" Target="https://dir.indiamart.com/ahmedabad/vermi-compost-fertilizer.html" TargetMode="External"/><Relationship Id="rId32" Type="http://schemas.openxmlformats.org/officeDocument/2006/relationships/hyperlink" Target="https://nhb.gov.in/Training/Brochure/FRT_Banana_DesaiFruits.pdf" TargetMode="External"/><Relationship Id="rId33" Type="http://schemas.openxmlformats.org/officeDocument/2006/relationships/hyperlink" Target="https://www.fmax.in/cold-room-power-requirements-how-to-calculate/" TargetMode="External"/><Relationship Id="rId34" Type="http://schemas.openxmlformats.org/officeDocument/2006/relationships/hyperlink" Target="https://www.kisandeals.com/mandiprices/PAPAYA/GUJARAT/ALL" TargetMode="External"/><Relationship Id="rId35" Type="http://schemas.openxmlformats.org/officeDocument/2006/relationships/hyperlink" Target="https://www.bigbasket.com/pd/30000974/fresho-kesar-mango-1-kg/" TargetMode="External"/><Relationship Id="rId36" Type="http://schemas.openxmlformats.org/officeDocument/2006/relationships/hyperlink" Target="https://www.indiamart.com/proddetail/mango-corrugated-box-20091039688.html" TargetMode="External"/><Relationship Id="rId37" Type="http://schemas.openxmlformats.org/officeDocument/2006/relationships/hyperlink" Target="https://www.vibesofindia.com/early-bloom-signals-april-arrival-for-gujarats-kesar-mangoes/" TargetMode="External"/><Relationship Id="rId38" Type="http://schemas.openxmlformats.org/officeDocument/2006/relationships/hyperlink" Target="https://dir.indiamart.com/talala/kesar-mango.html" TargetMode="External"/><Relationship Id="rId39" Type="http://schemas.openxmlformats.org/officeDocument/2006/relationships/hyperlink" Target="https://www.agrifarming.in/red-lady-taiwan-papaya-farming-in-india-how-to-start-yield-care-and-management" TargetMode="External"/><Relationship Id="rId40" Type="http://schemas.openxmlformats.org/officeDocument/2006/relationships/hyperlink" Target="https://journalajaees.com/index.php/AJAEES/article/view/2190" TargetMode="External"/><Relationship Id="rId41" Type="http://schemas.openxmlformats.org/officeDocument/2006/relationships/hyperlink" Target="https://www.apnikheti.com/en/pn/agriculture/crops/green-manure/sunhemp" TargetMode="External"/><Relationship Id="rId42" Type="http://schemas.openxmlformats.org/officeDocument/2006/relationships/hyperlink" Target="https://www.freshplaza.com/north-america/article/9814720/gujarat-watermelons-lead-india-s-strong-2026-export-start/" TargetMode="External"/><Relationship Id="rId43" Type="http://schemas.openxmlformats.org/officeDocument/2006/relationships/hyperlink" Target="https://www.promusa.org/Crop+rotation" TargetMode="External"/><Relationship Id="rId44" Type="http://schemas.openxmlformats.org/officeDocument/2006/relationships/hyperlink" Target="https://wscpantry.org/wp-content/uploads/2024/01/TEMP_GUIDELINES.pdf" TargetMode="External"/><Relationship Id="rId45" Type="http://schemas.openxmlformats.org/officeDocument/2006/relationships/hyperlink" Target="https://www.commodityonline.com/mandiprices/chikoos-sapota/gujarat/valsad" TargetMode="External"/><Relationship Id="rId46" Type="http://schemas.openxmlformats.org/officeDocument/2006/relationships/hyperlink" Target="https://dir.indiamart.com/kutch/fresh-pomegranate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7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/>
      <c r="B5" s="5" t="s">
        <v>3</v>
      </c>
      <c r="C5" s="5" t="s">
        <v>4</v>
      </c>
      <c r="D5" s="5" t="s">
        <v>5</v>
      </c>
      <c r="E5" s="5"/>
    </row>
    <row r="6" customFormat="false" ht="15" hidden="false" customHeight="false" outlineLevel="0" collapsed="false">
      <c r="A6" s="6" t="s">
        <v>6</v>
      </c>
      <c r="B6" s="7" t="n">
        <f aca="false">Inputs!$B$8</f>
        <v>300</v>
      </c>
      <c r="C6" s="7" t="n">
        <f aca="false">Inputs!$B$9</f>
        <v>300</v>
      </c>
      <c r="D6" s="7" t="n">
        <f aca="false">Inputs!$B$10</f>
        <v>330</v>
      </c>
      <c r="F6" s="6" t="s">
        <v>7</v>
      </c>
    </row>
    <row r="7" customFormat="false" ht="15" hidden="false" customHeight="false" outlineLevel="0" collapsed="false">
      <c r="A7" s="6" t="s">
        <v>8</v>
      </c>
      <c r="B7" s="8" t="n">
        <f aca="false">'Operations &amp; Capacity'!$B$13</f>
        <v>0.757894736842105</v>
      </c>
      <c r="C7" s="8" t="n">
        <f aca="false">'Operations &amp; Capacity'!$E$29</f>
        <v>0.583789473684211</v>
      </c>
      <c r="D7" s="8" t="n">
        <f aca="false">'Operations &amp; Capacity'!$E$33</f>
        <v>0.861084210526316</v>
      </c>
      <c r="F7" s="6" t="s">
        <v>9</v>
      </c>
    </row>
    <row r="8" customFormat="false" ht="15" hidden="false" customHeight="false" outlineLevel="0" collapsed="false">
      <c r="A8" s="6" t="s">
        <v>10</v>
      </c>
      <c r="B8" s="9" t="n">
        <f aca="false">'Packhouse Opex'!$B$37</f>
        <v>14210963.1578947</v>
      </c>
      <c r="C8" s="9" t="n">
        <f aca="false">'Packhouse Opex'!$B$38</f>
        <v>1806657.47368421</v>
      </c>
      <c r="D8" s="9" t="n">
        <f aca="false">'Packhouse Opex'!$B$39</f>
        <v>1526140</v>
      </c>
      <c r="F8" s="6"/>
    </row>
    <row r="9" customFormat="false" ht="15" hidden="false" customHeight="false" outlineLevel="0" collapsed="false">
      <c r="A9" s="6" t="s">
        <v>11</v>
      </c>
      <c r="B9" s="9" t="n">
        <f aca="false">'Packhouse Capex'!$E$10</f>
        <v>12250000</v>
      </c>
      <c r="C9" s="9" t="n">
        <f aca="false">'Packhouse Capex'!$E$13</f>
        <v>9000000</v>
      </c>
      <c r="D9" s="9" t="n">
        <f aca="false">'Packhouse Capex'!$E$16</f>
        <v>2200000</v>
      </c>
      <c r="F9" s="6"/>
    </row>
    <row r="10" customFormat="false" ht="15" hidden="false" customHeight="false" outlineLevel="0" collapsed="false">
      <c r="A10" s="6" t="s">
        <v>12</v>
      </c>
      <c r="B10" s="10" t="n">
        <f aca="false">'Packhouse Opex'!$G$37</f>
        <v>2.09027700123014</v>
      </c>
      <c r="C10" s="10" t="n">
        <f aca="false">'Packhouse Opex'!$G$38</f>
        <v>0.468150391873276</v>
      </c>
      <c r="D10" s="10" t="n">
        <f aca="false">'Packhouse Opex'!$G$39</f>
        <v>0.286447118047304</v>
      </c>
      <c r="F10" s="6"/>
    </row>
    <row r="12" customFormat="false" ht="15" hidden="false" customHeight="false" outlineLevel="0" collapsed="false">
      <c r="A12" s="3" t="s">
        <v>13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5"/>
      <c r="B13" s="5" t="s">
        <v>14</v>
      </c>
      <c r="C13" s="5" t="s">
        <v>15</v>
      </c>
      <c r="D13" s="5" t="s">
        <v>16</v>
      </c>
      <c r="E13" s="5" t="s">
        <v>17</v>
      </c>
    </row>
    <row r="14" customFormat="false" ht="15" hidden="false" customHeight="false" outlineLevel="0" collapsed="false">
      <c r="A14" s="6" t="s">
        <v>18</v>
      </c>
      <c r="B14" s="7" t="n">
        <f aca="false">'Operations &amp; Capacity'!$B$11</f>
        <v>5684.21052631579</v>
      </c>
      <c r="C14" s="7" t="n">
        <f aca="false">'Operations &amp; Capacity'!$C$11</f>
        <v>1440</v>
      </c>
      <c r="D14" s="7" t="n">
        <f aca="false">'Operations &amp; Capacity'!$D$11</f>
        <v>360</v>
      </c>
      <c r="E14" s="7" t="n">
        <f aca="false">'Operations &amp; Capacity'!$E$11</f>
        <v>7484.21052631579</v>
      </c>
      <c r="F14" s="6"/>
    </row>
    <row r="15" customFormat="false" ht="15" hidden="false" customHeight="false" outlineLevel="0" collapsed="false">
      <c r="A15" s="6" t="s">
        <v>19</v>
      </c>
      <c r="B15" s="7" t="n">
        <f aca="false">'Operations &amp; Capacity'!$B$19</f>
        <v>4635.92842105263</v>
      </c>
      <c r="C15" s="7" t="n">
        <f aca="false">'Operations &amp; Capacity'!$C$19</f>
        <v>1248.192</v>
      </c>
      <c r="D15" s="7" t="n">
        <f aca="false">'Operations &amp; Capacity'!$D$19</f>
        <v>326.232</v>
      </c>
      <c r="E15" s="7" t="n">
        <f aca="false">'Operations &amp; Capacity'!$E$19</f>
        <v>6210.35242105263</v>
      </c>
      <c r="F15" s="6"/>
    </row>
    <row r="16" customFormat="false" ht="15" hidden="false" customHeight="false" outlineLevel="0" collapsed="false">
      <c r="A16" s="6" t="s">
        <v>20</v>
      </c>
      <c r="B16" s="7" t="n">
        <f aca="false">'Farm Plan'!$D$40</f>
        <v>5684.21052631579</v>
      </c>
      <c r="C16" s="7" t="n">
        <f aca="false">'Operations &amp; Capacity'!$B$12</f>
        <v>0</v>
      </c>
      <c r="F16" s="6" t="s">
        <v>21</v>
      </c>
    </row>
    <row r="17" customFormat="false" ht="15" hidden="false" customHeight="false" outlineLevel="0" collapsed="false">
      <c r="A17" s="6" t="s">
        <v>22</v>
      </c>
      <c r="B17" s="11" t="n">
        <f aca="false">'Operations &amp; Capacity'!$B$23</f>
        <v>57.8912140491088</v>
      </c>
      <c r="F17" s="6"/>
    </row>
    <row r="19" customFormat="false" ht="15" hidden="false" customHeight="false" outlineLevel="0" collapsed="false">
      <c r="A19" s="3" t="s">
        <v>23</v>
      </c>
      <c r="B19" s="4"/>
      <c r="C19" s="4"/>
      <c r="D19" s="4"/>
      <c r="E19" s="4"/>
      <c r="F19" s="4"/>
    </row>
    <row r="20" customFormat="false" ht="15" hidden="false" customHeight="false" outlineLevel="0" collapsed="false">
      <c r="A20" s="5"/>
      <c r="B20" s="5" t="s">
        <v>24</v>
      </c>
      <c r="C20" s="5" t="s">
        <v>25</v>
      </c>
      <c r="D20" s="5" t="s">
        <v>15</v>
      </c>
      <c r="E20" s="5" t="s">
        <v>26</v>
      </c>
    </row>
    <row r="21" customFormat="false" ht="15" hidden="false" customHeight="false" outlineLevel="0" collapsed="false">
      <c r="A21" s="12" t="s">
        <v>27</v>
      </c>
      <c r="B21" s="13" t="n">
        <f aca="false">'Unit Economics'!$B$5</f>
        <v>51.6923076923077</v>
      </c>
      <c r="C21" s="13" t="n">
        <f aca="false">'Unit Economics'!$C$5</f>
        <v>28</v>
      </c>
      <c r="D21" s="13" t="n">
        <f aca="false">'Unit Economics'!$D$5</f>
        <v>26</v>
      </c>
      <c r="E21" s="13" t="n">
        <f aca="false">'Unit Economics'!$E$5</f>
        <v>120</v>
      </c>
      <c r="F21" s="6"/>
    </row>
    <row r="22" customFormat="false" ht="15" hidden="false" customHeight="false" outlineLevel="0" collapsed="false">
      <c r="A22" s="6" t="s">
        <v>28</v>
      </c>
      <c r="B22" s="10" t="n">
        <f aca="false">'Unit Economics'!$B$7</f>
        <v>8.91441589073949</v>
      </c>
      <c r="C22" s="10" t="n">
        <f aca="false">'Unit Economics'!$C$7</f>
        <v>8.91441589073949</v>
      </c>
      <c r="D22" s="10" t="n">
        <f aca="false">'Unit Economics'!$D$7</f>
        <v>14.9976926626673</v>
      </c>
      <c r="E22" s="10" t="n">
        <f aca="false">'Unit Economics'!$E$7</f>
        <v>80.5561686161995</v>
      </c>
      <c r="F22" s="6"/>
    </row>
    <row r="23" customFormat="false" ht="15" hidden="false" customHeight="false" outlineLevel="0" collapsed="false">
      <c r="A23" s="6" t="s">
        <v>4</v>
      </c>
      <c r="B23" s="10" t="n">
        <f aca="false">'Unit Economics'!$B$11</f>
        <v>0.290910620073633</v>
      </c>
      <c r="C23" s="10" t="n">
        <f aca="false">'Unit Economics'!$C$11</f>
        <v>0.290910620073633</v>
      </c>
      <c r="D23" s="10" t="n">
        <f aca="false">'Unit Economics'!$D$11</f>
        <v>0.290910620073633</v>
      </c>
      <c r="E23" s="10" t="n">
        <f aca="false">'Unit Economics'!$E$11</f>
        <v>0.290910620073633</v>
      </c>
      <c r="F23" s="6"/>
    </row>
    <row r="24" customFormat="false" ht="15" hidden="false" customHeight="false" outlineLevel="0" collapsed="false">
      <c r="A24" s="6" t="s">
        <v>5</v>
      </c>
      <c r="B24" s="10" t="n">
        <f aca="false">'Unit Economics'!$B$12</f>
        <v>0.245741287535712</v>
      </c>
      <c r="C24" s="10" t="n">
        <f aca="false">'Unit Economics'!$C$12</f>
        <v>0.245741287535712</v>
      </c>
      <c r="D24" s="10" t="n">
        <f aca="false">'Unit Economics'!$D$12</f>
        <v>0.245741287535712</v>
      </c>
      <c r="E24" s="10" t="n">
        <f aca="false">'Unit Economics'!$E$12</f>
        <v>0.245741287535712</v>
      </c>
      <c r="F24" s="6"/>
    </row>
    <row r="25" customFormat="false" ht="15" hidden="false" customHeight="false" outlineLevel="0" collapsed="false">
      <c r="A25" s="6" t="s">
        <v>29</v>
      </c>
      <c r="B25" s="10" t="n">
        <f aca="false">'Unit Economics'!$B$13</f>
        <v>7.53846153846154</v>
      </c>
      <c r="C25" s="10" t="n">
        <f aca="false">'Unit Economics'!$C$13</f>
        <v>5.15384615384615</v>
      </c>
      <c r="D25" s="10" t="n">
        <f aca="false">'Unit Economics'!$D$13</f>
        <v>2</v>
      </c>
      <c r="E25" s="10" t="n">
        <f aca="false">'Unit Economics'!$E$13</f>
        <v>11.6666666666667</v>
      </c>
      <c r="F25" s="6"/>
    </row>
    <row r="26" customFormat="false" ht="15" hidden="false" customHeight="false" outlineLevel="0" collapsed="false">
      <c r="A26" s="6" t="s">
        <v>30</v>
      </c>
      <c r="B26" s="10" t="n">
        <f aca="false">'Unit Economics'!$B$15+'Unit Economics'!$B$17+'Unit Economics'!$B$18+'Unit Economics'!$B$16</f>
        <v>33.8661338661339</v>
      </c>
      <c r="C26" s="10" t="n">
        <f aca="false">'Unit Economics'!$C$15+'Unit Economics'!$C$17+'Unit Economics'!$C$18+'Unit Economics'!$C$16</f>
        <v>4.75555555555556</v>
      </c>
      <c r="D26" s="10" t="n">
        <f aca="false">'Unit Economics'!$D$15+'Unit Economics'!$D$17+'Unit Economics'!$D$18+'Unit Economics'!$D$16</f>
        <v>2.83333333333333</v>
      </c>
      <c r="E26" s="10" t="n">
        <f aca="false">'Unit Economics'!$E$15+'Unit Economics'!$E$17+'Unit Economics'!$E$18+'Unit Economics'!$E$16</f>
        <v>4.75555555555556</v>
      </c>
      <c r="F26" s="6"/>
    </row>
    <row r="27" customFormat="false" ht="15" hidden="false" customHeight="false" outlineLevel="0" collapsed="false">
      <c r="A27" s="12" t="s">
        <v>31</v>
      </c>
      <c r="B27" s="13" t="n">
        <f aca="false">'Unit Economics'!$B$25</f>
        <v>58.2459304247173</v>
      </c>
      <c r="C27" s="13" t="n">
        <f aca="false">'Unit Economics'!$C$25</f>
        <v>25.1603633221091</v>
      </c>
      <c r="D27" s="13" t="n">
        <f aca="false">'Unit Economics'!$D$25</f>
        <v>25.0324708186577</v>
      </c>
      <c r="E27" s="13" t="n">
        <f aca="false">'Unit Economics'!$E$25</f>
        <v>106.216684976147</v>
      </c>
      <c r="F27" s="6"/>
    </row>
    <row r="28" customFormat="false" ht="15" hidden="false" customHeight="false" outlineLevel="0" collapsed="false">
      <c r="A28" s="12" t="s">
        <v>32</v>
      </c>
      <c r="B28" s="13" t="n">
        <f aca="false">'Unit Economics'!$B$26</f>
        <v>-6.55362273240962</v>
      </c>
      <c r="C28" s="13" t="n">
        <f aca="false">'Unit Economics'!$C$26</f>
        <v>2.83963667789089</v>
      </c>
      <c r="D28" s="13" t="n">
        <f aca="false">'Unit Economics'!$D$26</f>
        <v>0.967529181342332</v>
      </c>
      <c r="E28" s="13" t="n">
        <f aca="false">'Unit Economics'!$E$26</f>
        <v>13.7833150238527</v>
      </c>
      <c r="F28" s="6"/>
    </row>
    <row r="29" customFormat="false" ht="15" hidden="false" customHeight="false" outlineLevel="0" collapsed="false">
      <c r="A29" s="6" t="s">
        <v>33</v>
      </c>
      <c r="B29" s="8" t="n">
        <f aca="false">'Unit Economics'!$B$27</f>
        <v>-0.126781392144829</v>
      </c>
      <c r="C29" s="8" t="n">
        <f aca="false">'Unit Economics'!$C$27</f>
        <v>0.10141559563896</v>
      </c>
      <c r="D29" s="8" t="n">
        <f aca="false">'Unit Economics'!$D$27</f>
        <v>0.0372126608208589</v>
      </c>
      <c r="E29" s="8" t="n">
        <f aca="false">'Unit Economics'!$E$27</f>
        <v>0.114860958532106</v>
      </c>
      <c r="F29" s="6"/>
    </row>
    <row r="30" customFormat="false" ht="15" hidden="false" customHeight="false" outlineLevel="0" collapsed="false">
      <c r="A30" s="12" t="s">
        <v>34</v>
      </c>
      <c r="B30" s="14" t="n">
        <f aca="false">'Unit Economics'!$B$30</f>
        <v>-7595531.47150859</v>
      </c>
      <c r="C30" s="14" t="n">
        <f aca="false">'Unit Economics'!$C$30</f>
        <v>9873264.28537338</v>
      </c>
      <c r="D30" s="14" t="n">
        <f aca="false">'Unit Economics'!$D$30</f>
        <v>1207662.18391805</v>
      </c>
      <c r="E30" s="14" t="n">
        <f aca="false">'Unit Economics'!$E$30</f>
        <v>4496558.42686152</v>
      </c>
      <c r="F30" s="6"/>
    </row>
    <row r="32" customFormat="false" ht="15" hidden="false" customHeight="false" outlineLevel="0" collapsed="false">
      <c r="A32" s="3" t="s">
        <v>35</v>
      </c>
      <c r="B32" s="4"/>
      <c r="C32" s="4"/>
      <c r="D32" s="4"/>
      <c r="E32" s="4"/>
      <c r="F32" s="4"/>
    </row>
    <row r="33" customFormat="false" ht="15" hidden="false" customHeight="false" outlineLevel="0" collapsed="false">
      <c r="A33" s="5"/>
      <c r="B33" s="5" t="s">
        <v>36</v>
      </c>
      <c r="C33" s="5" t="s">
        <v>37</v>
      </c>
      <c r="D33" s="5"/>
    </row>
    <row r="34" customFormat="false" ht="15" hidden="false" customHeight="false" outlineLevel="0" collapsed="false">
      <c r="A34" s="6" t="s">
        <v>38</v>
      </c>
      <c r="B34" s="11" t="n">
        <f aca="false">'Annual P&amp;L'!$B$13/100000</f>
        <v>2491.60693700405</v>
      </c>
      <c r="C34" s="11" t="n">
        <f aca="false">'Annual P&amp;L'!$D$13/100000</f>
        <v>2491.60693700405</v>
      </c>
      <c r="F34" s="6"/>
    </row>
    <row r="35" customFormat="false" ht="15" hidden="false" customHeight="false" outlineLevel="0" collapsed="false">
      <c r="A35" s="6" t="s">
        <v>39</v>
      </c>
      <c r="B35" s="11" t="n">
        <f aca="false">'Annual P&amp;L'!$B$29/100000</f>
        <v>2273.16500994296</v>
      </c>
      <c r="C35" s="11" t="n">
        <f aca="false">'Annual P&amp;L'!$D$29/100000</f>
        <v>2050.86274799438</v>
      </c>
      <c r="F35" s="6"/>
    </row>
    <row r="36" customFormat="false" ht="15" hidden="false" customHeight="false" outlineLevel="0" collapsed="false">
      <c r="A36" s="12" t="s">
        <v>40</v>
      </c>
      <c r="B36" s="15" t="n">
        <f aca="false">'Annual P&amp;L'!$B$30/100000</f>
        <v>218.441927061089</v>
      </c>
      <c r="C36" s="15" t="n">
        <f aca="false">'Annual P&amp;L'!$D$30/100000</f>
        <v>440.744189009667</v>
      </c>
      <c r="F36" s="6"/>
    </row>
    <row r="37" customFormat="false" ht="15" hidden="false" customHeight="false" outlineLevel="0" collapsed="false">
      <c r="A37" s="12" t="s">
        <v>41</v>
      </c>
      <c r="B37" s="15" t="n">
        <f aca="false">'Annual P&amp;L'!$B$34/100000</f>
        <v>153.463341825391</v>
      </c>
      <c r="C37" s="15" t="n">
        <f aca="false">'Annual P&amp;L'!$D$34/100000</f>
        <v>375.765603773969</v>
      </c>
      <c r="F37" s="6"/>
    </row>
    <row r="38" customFormat="false" ht="15" hidden="false" customHeight="false" outlineLevel="0" collapsed="false">
      <c r="A38" s="6" t="s">
        <v>42</v>
      </c>
      <c r="B38" s="11" t="n">
        <f aca="false">'Annual P&amp;L'!$B$41/100000</f>
        <v>-97.9470203073318</v>
      </c>
      <c r="C38" s="11" t="n">
        <f aca="false">'Annual P&amp;L'!$D$41/100000</f>
        <v>124.355241641246</v>
      </c>
      <c r="F38" s="6"/>
    </row>
    <row r="39" customFormat="false" ht="15" hidden="false" customHeight="false" outlineLevel="0" collapsed="false">
      <c r="A39" s="6" t="s">
        <v>43</v>
      </c>
      <c r="B39" s="11" t="n">
        <f aca="false">'Annual P&amp;L'!$B$40/100000</f>
        <v>312.025</v>
      </c>
      <c r="C39" s="11" t="n">
        <f aca="false">'Annual P&amp;L'!$D$40/100000</f>
        <v>312.025</v>
      </c>
      <c r="F39" s="6"/>
    </row>
    <row r="40" customFormat="false" ht="15" hidden="false" customHeight="false" outlineLevel="0" collapsed="false">
      <c r="A40" s="6" t="s">
        <v>44</v>
      </c>
      <c r="B40" s="11" t="str">
        <f aca="false">'Annual P&amp;L'!$B$42</f>
        <v>n/a</v>
      </c>
      <c r="C40" s="11" t="n">
        <f aca="false">'Annual P&amp;L'!$D$42</f>
        <v>2.50914232389307</v>
      </c>
      <c r="F40" s="6"/>
    </row>
    <row r="42" customFormat="false" ht="15" hidden="false" customHeight="false" outlineLevel="0" collapsed="false">
      <c r="A42" s="3" t="s">
        <v>45</v>
      </c>
      <c r="B42" s="4"/>
      <c r="C42" s="4"/>
      <c r="D42" s="4"/>
      <c r="E42" s="4"/>
      <c r="F42" s="4"/>
    </row>
    <row r="43" customFormat="false" ht="15" hidden="false" customHeight="false" outlineLevel="0" collapsed="false">
      <c r="A43" s="5"/>
      <c r="B43" s="5" t="s">
        <v>15</v>
      </c>
      <c r="C43" s="5" t="s">
        <v>46</v>
      </c>
      <c r="D43" s="5" t="s">
        <v>47</v>
      </c>
      <c r="E43" s="5" t="s">
        <v>48</v>
      </c>
    </row>
    <row r="44" customFormat="false" ht="15" hidden="false" customHeight="false" outlineLevel="0" collapsed="false">
      <c r="A44" s="6" t="s">
        <v>49</v>
      </c>
      <c r="B44" s="9" t="n">
        <f aca="false">'Crop Rotation'!$B$14</f>
        <v>360000</v>
      </c>
      <c r="C44" s="9" t="n">
        <f aca="false">'Crop Rotation'!$C$14</f>
        <v>-20844</v>
      </c>
      <c r="D44" s="9" t="n">
        <f aca="false">'Crop Rotation'!$D$14</f>
        <v>-5280</v>
      </c>
      <c r="F44" s="6"/>
    </row>
    <row r="45" customFormat="false" ht="15" hidden="false" customHeight="false" outlineLevel="0" collapsed="false">
      <c r="A45" s="6" t="s">
        <v>50</v>
      </c>
      <c r="B45" s="9" t="n">
        <f aca="false">'Crop Rotation'!$B$15</f>
        <v>18000</v>
      </c>
      <c r="C45" s="9" t="n">
        <f aca="false">'Crop Rotation'!$C$15</f>
        <v>-6948</v>
      </c>
      <c r="D45" s="9" t="n">
        <f aca="false">'Crop Rotation'!$D$15</f>
        <v>-2640</v>
      </c>
      <c r="E45" s="9" t="n">
        <f aca="false">'Crop Rotation'!$B$16</f>
        <v>31578.9473684211</v>
      </c>
      <c r="F45" s="6"/>
    </row>
    <row r="47" customFormat="false" ht="15" hidden="false" customHeight="false" outlineLevel="0" collapsed="false">
      <c r="A47" s="3" t="s">
        <v>51</v>
      </c>
      <c r="B47" s="4"/>
      <c r="C47" s="4"/>
      <c r="D47" s="4"/>
      <c r="E47" s="4"/>
      <c r="F47" s="4"/>
    </row>
    <row r="48" customFormat="false" ht="43.5" hidden="false" customHeight="true" outlineLevel="0" collapsed="false">
      <c r="A48" s="6" t="str">
        <f aca="false">"1. Running days: packhouse "&amp;Inputs!$B$8&amp;", pre-cooling "&amp;Inputs!$B$9&amp;", cold storage "&amp;Inputs!$B$10&amp;" days/yr. The banana line runs at "&amp;TEXT('Operations &amp; Capacity'!$B$13,"0%")&amp;" of capacity; pre-cooling peaks at "&amp;TEXT('Operations &amp; Capacity'!$E$29,"0%")&amp;". Cut the days and surplus banana ("&amp;TEXT('Operations &amp; Capacity'!$B$12,"0")&amp;" t now) is sold at the farm gate instead."</f>
        <v>1. Running days: packhouse 300, pre-cooling 300, cold storage 330 days/yr. The banana line runs at 76% of capacity; pre-cooling peaks at 58%. Cut the days and surplus banana (0 t now) is sold at the farm gate instead.</v>
      </c>
      <c r="B48" s="6"/>
      <c r="C48" s="6"/>
      <c r="D48" s="6"/>
      <c r="E48" s="6"/>
      <c r="F48" s="6"/>
    </row>
    <row r="49" customFormat="false" ht="43.5" hidden="false" customHeight="true" outlineLevel="0" collapsed="false">
      <c r="A49" s="6" t="str">
        <f aca="false">"2. Pre-cooling costs ₹"&amp;TEXT('Packhouse Opex'!$G$38,"0.00")&amp;"/kg and cold storage ₹"&amp;TEXT('Packhouse Opex'!$G$39,"0.00")&amp;"/kg of fruit (power, staff, repairs, depreciation, interest). Capex for the two together: ₹"&amp;TEXT(('Packhouse Capex'!$E$13+'Packhouse Capex'!$E$16)/100000,"0")&amp;" lakh."</f>
        <v>2. Pre-cooling costs ₹0.47/kg and cold storage ₹0.29/kg of fruit (power, staff, repairs, depreciation, interest). Capex for the two together: ₹112 lakh.</v>
      </c>
      <c r="B49" s="6"/>
      <c r="C49" s="6"/>
      <c r="D49" s="6"/>
      <c r="E49" s="6"/>
      <c r="F49" s="6"/>
    </row>
    <row r="50" customFormat="false" ht="43.5" hidden="false" customHeight="true" outlineLevel="0" collapsed="false">
      <c r="A50" s="6" t="str">
        <f aca="false">"3. Kesar mango earns ₹"&amp;TEXT('Unit Economics'!$E$26,"0")&amp;"/kg net (₹"&amp;TEXT('Unit Economics'!$E$30/100000,"0")&amp;" lakh/yr in "&amp;Inputs!$B$86&amp;" days). Papaya earns ₹"&amp;TEXT('Unit Economics'!$D$26,"0.0")&amp;"/kg (₹"&amp;TEXT('Unit Economics'!$D$30/100000,"0")&amp;" lakh/yr). Banana domestic earns ₹"&amp;TEXT('Unit Economics'!$C$26,"0.0")&amp;"/kg; banana export ₹"&amp;TEXT('Unit Economics'!$B$26,"0.0")&amp;"/kg with the Gulf surcharge."</f>
        <v>3. Kesar mango earns ₹14/kg net (₹45 lakh/yr in 60 days). Papaya earns ₹1.0/kg (₹12 lakh/yr). Banana domestic earns ₹2.8/kg; banana export ₹-6.6/kg with the Gulf surcharge.</v>
      </c>
      <c r="B50" s="6"/>
      <c r="C50" s="6"/>
      <c r="D50" s="6"/>
      <c r="E50" s="6"/>
      <c r="F50" s="6"/>
    </row>
    <row r="51" customFormat="false" ht="43.5" hidden="false" customHeight="true" outlineLevel="0" collapsed="false">
      <c r="A51" s="6" t="str">
        <f aca="false">"4. Whole business EBITDA is ₹"&amp;TEXT('Annual P&amp;L'!$B$30/100000,"0")&amp;" lakh now vs ₹"&amp;TEXT('Annual P&amp;L'!$D$30/100000,"0")&amp;" lakh in a normalised shipping year. If the farm is paid the ₹"&amp;TEXT('Farm Plan'!$D$47,"0.0")&amp;"/kg farm-gate price, the packhouse business makes ₹"&amp;TEXT('Annual P&amp;L'!$B$41/100000,"0")&amp;" lakh now and ₹"&amp;TEXT('Annual P&amp;L'!$D$41/100000,"0")&amp;" lakh normalised."</f>
        <v>4. Whole business EBITDA is ₹218 lakh now vs ₹441 lakh in a normalised shipping year. If the farm is paid the ₹13.5/kg farm-gate price, the packhouse business makes ₹-98 lakh now and ₹124 lakh normalised.</v>
      </c>
      <c r="B51" s="6"/>
      <c r="C51" s="6"/>
      <c r="D51" s="6"/>
      <c r="E51" s="6"/>
      <c r="F51" s="6"/>
    </row>
    <row r="52" customFormat="false" ht="43.5" hidden="false" customHeight="true" outlineLevel="0" collapsed="false">
      <c r="A52" s="6" t="str">
        <f aca="false">"5. Watch-out: domestic banana must sell above ₹"&amp;TEXT('Unit Economics'!$C$33,"0.0")&amp;"/kg delivered (you assume ₹"&amp;TEXT(Inputs!$B$108,"0")&amp;") before packing beats selling at the farm gate. The 18% pack-out loss (stalk, culls, shrink), packaging and freight eat most of the premium. Lock in a premium contract before building."</f>
        <v>5. Watch-out: domestic banana must sell above ₹31.7/kg delivered (you assume ₹28) before packing beats selling at the farm gate. The 18% pack-out loss (stalk, culls, shrink), packaging and freight eat most of the premium. Lock in a premium contract before building.</v>
      </c>
      <c r="B52" s="6"/>
      <c r="C52" s="6"/>
      <c r="D52" s="6"/>
      <c r="E52" s="6"/>
      <c r="F52" s="6"/>
    </row>
    <row r="53" customFormat="false" ht="43.5" hidden="false" customHeight="true" outlineLevel="0" collapsed="false">
      <c r="A53" s="6" t="str">
        <f aca="false">"6. Rotation: papaya makes ₹"&amp;TEXT('Crop Rotation'!$B$15,"#,##0")&amp;"/acre/month vs banana ₹"&amp;TEXT('Crop Rotation'!$B$16,"#,##0")&amp;". It is the best backup crop and feeds your own papaya line. Watermelon makes ₹"&amp;TEXT('Crop Rotation'!$C$15,"#,##0")&amp;"/acre/month – use it only as a filler. Sow green manure before each replant."</f>
        <v>6. Rotation: papaya makes ₹18,000/acre/month vs banana ₹31,579. It is the best backup crop and feeds your own papaya line. Watermelon makes ₹-6,948/acre/month – use it only as a filler. Sow green manure before each replant.</v>
      </c>
      <c r="B53" s="6"/>
      <c r="C53" s="6"/>
      <c r="D53" s="6"/>
      <c r="E53" s="6"/>
      <c r="F53" s="6"/>
    </row>
    <row r="54" customFormat="false" ht="43.5" hidden="false" customHeight="true" outlineLevel="0" collapsed="false">
      <c r="A54" s="6" t="s">
        <v>52</v>
      </c>
      <c r="B54" s="6"/>
      <c r="C54" s="6"/>
      <c r="D54" s="6"/>
      <c r="E54" s="6"/>
      <c r="F54" s="6"/>
    </row>
    <row r="56" customFormat="false" ht="30" hidden="false" customHeight="true" outlineLevel="0" collapsed="false">
      <c r="A56" s="16" t="s">
        <v>53</v>
      </c>
      <c r="B56" s="16"/>
      <c r="C56" s="16"/>
      <c r="D56" s="16"/>
      <c r="E56" s="16"/>
      <c r="F56" s="16"/>
    </row>
  </sheetData>
  <mergeCells count="8">
    <mergeCell ref="A48:F48"/>
    <mergeCell ref="A49:F49"/>
    <mergeCell ref="A50:F50"/>
    <mergeCell ref="A51:F51"/>
    <mergeCell ref="A52:F52"/>
    <mergeCell ref="A53:F53"/>
    <mergeCell ref="A54:F54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17" t="s">
        <v>56</v>
      </c>
      <c r="B4" s="17" t="s">
        <v>57</v>
      </c>
      <c r="C4" s="17" t="s">
        <v>58</v>
      </c>
      <c r="D4" s="17" t="s">
        <v>59</v>
      </c>
      <c r="E4" s="17" t="s">
        <v>60</v>
      </c>
      <c r="F4" s="17" t="s">
        <v>61</v>
      </c>
      <c r="G4" s="17" t="s">
        <v>62</v>
      </c>
    </row>
    <row r="5" customFormat="false" ht="15" hidden="false" customHeight="false" outlineLevel="0" collapsed="false">
      <c r="A5" s="3" t="s">
        <v>63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6" t="s">
        <v>64</v>
      </c>
      <c r="B6" s="18" t="n">
        <v>96</v>
      </c>
      <c r="C6" s="6" t="s">
        <v>65</v>
      </c>
      <c r="D6" s="18" t="n">
        <v>95.5</v>
      </c>
      <c r="E6" s="18" t="n">
        <v>96.1</v>
      </c>
      <c r="F6" s="6" t="s">
        <v>66</v>
      </c>
      <c r="G6" s="6" t="s">
        <v>67</v>
      </c>
    </row>
    <row r="7" customFormat="false" ht="15" hidden="false" customHeight="false" outlineLevel="0" collapsed="false">
      <c r="A7" s="3" t="s">
        <v>68</v>
      </c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12" t="s">
        <v>69</v>
      </c>
      <c r="B8" s="19" t="n">
        <v>300</v>
      </c>
      <c r="C8" s="6" t="s">
        <v>70</v>
      </c>
      <c r="D8" s="20" t="n">
        <v>250</v>
      </c>
      <c r="E8" s="20" t="n">
        <v>330</v>
      </c>
      <c r="F8" s="6" t="s">
        <v>71</v>
      </c>
      <c r="G8" s="6" t="s">
        <v>72</v>
      </c>
    </row>
    <row r="9" customFormat="false" ht="15" hidden="false" customHeight="false" outlineLevel="0" collapsed="false">
      <c r="A9" s="12" t="s">
        <v>73</v>
      </c>
      <c r="B9" s="19" t="n">
        <v>300</v>
      </c>
      <c r="C9" s="6" t="s">
        <v>70</v>
      </c>
      <c r="D9" s="20" t="n">
        <v>250</v>
      </c>
      <c r="E9" s="20" t="n">
        <v>330</v>
      </c>
      <c r="F9" s="6" t="s">
        <v>74</v>
      </c>
      <c r="G9" s="6" t="s">
        <v>75</v>
      </c>
    </row>
    <row r="10" customFormat="false" ht="15" hidden="false" customHeight="false" outlineLevel="0" collapsed="false">
      <c r="A10" s="12" t="s">
        <v>76</v>
      </c>
      <c r="B10" s="19" t="n">
        <v>330</v>
      </c>
      <c r="C10" s="6" t="s">
        <v>70</v>
      </c>
      <c r="D10" s="20" t="n">
        <v>300</v>
      </c>
      <c r="E10" s="20" t="n">
        <v>365</v>
      </c>
      <c r="F10" s="6" t="s">
        <v>74</v>
      </c>
      <c r="G10" s="6" t="s">
        <v>77</v>
      </c>
    </row>
    <row r="11" customFormat="false" ht="15" hidden="false" customHeight="false" outlineLevel="0" collapsed="false">
      <c r="A11" s="6" t="s">
        <v>78</v>
      </c>
      <c r="B11" s="20" t="n">
        <v>25</v>
      </c>
      <c r="C11" s="6" t="s">
        <v>79</v>
      </c>
      <c r="D11" s="20" t="n">
        <v>20</v>
      </c>
      <c r="E11" s="20" t="n">
        <v>30</v>
      </c>
      <c r="F11" s="6" t="s">
        <v>71</v>
      </c>
      <c r="G11" s="6" t="s">
        <v>80</v>
      </c>
    </row>
    <row r="12" customFormat="false" ht="15" hidden="false" customHeight="false" outlineLevel="0" collapsed="false">
      <c r="A12" s="6" t="s">
        <v>81</v>
      </c>
      <c r="B12" s="20" t="n">
        <v>8</v>
      </c>
      <c r="C12" s="6" t="s">
        <v>79</v>
      </c>
      <c r="D12" s="20" t="n">
        <v>5</v>
      </c>
      <c r="E12" s="20" t="n">
        <v>12</v>
      </c>
      <c r="F12" s="6" t="s">
        <v>74</v>
      </c>
      <c r="G12" s="6" t="s">
        <v>82</v>
      </c>
    </row>
    <row r="13" customFormat="false" ht="15" hidden="false" customHeight="false" outlineLevel="0" collapsed="false">
      <c r="A13" s="6" t="s">
        <v>83</v>
      </c>
      <c r="B13" s="20" t="n">
        <v>3</v>
      </c>
      <c r="C13" s="6" t="s">
        <v>84</v>
      </c>
      <c r="D13" s="20" t="n">
        <v>2</v>
      </c>
      <c r="E13" s="20" t="n">
        <v>4</v>
      </c>
      <c r="F13" s="6" t="s">
        <v>85</v>
      </c>
      <c r="G13" s="6" t="s">
        <v>86</v>
      </c>
    </row>
    <row r="14" customFormat="false" ht="15" hidden="false" customHeight="false" outlineLevel="0" collapsed="false">
      <c r="A14" s="6" t="s">
        <v>87</v>
      </c>
      <c r="B14" s="20" t="n">
        <v>6</v>
      </c>
      <c r="C14" s="6" t="s">
        <v>88</v>
      </c>
      <c r="D14" s="21"/>
      <c r="E14" s="21"/>
      <c r="F14" s="6" t="s">
        <v>66</v>
      </c>
      <c r="G14" s="6" t="s">
        <v>89</v>
      </c>
    </row>
    <row r="15" customFormat="false" ht="15" hidden="false" customHeight="false" outlineLevel="0" collapsed="false">
      <c r="A15" s="6" t="s">
        <v>90</v>
      </c>
      <c r="B15" s="20" t="n">
        <v>2</v>
      </c>
      <c r="C15" s="6" t="s">
        <v>91</v>
      </c>
      <c r="D15" s="20" t="n">
        <v>2</v>
      </c>
      <c r="E15" s="20" t="n">
        <v>3</v>
      </c>
      <c r="F15" s="6" t="s">
        <v>74</v>
      </c>
      <c r="G15" s="6" t="s">
        <v>92</v>
      </c>
    </row>
    <row r="16" customFormat="false" ht="15" hidden="false" customHeight="false" outlineLevel="0" collapsed="false">
      <c r="A16" s="6" t="s">
        <v>93</v>
      </c>
      <c r="B16" s="20" t="n">
        <v>100</v>
      </c>
      <c r="C16" s="6" t="s">
        <v>94</v>
      </c>
      <c r="D16" s="20" t="n">
        <v>50</v>
      </c>
      <c r="E16" s="20" t="n">
        <v>150</v>
      </c>
      <c r="F16" s="6" t="s">
        <v>85</v>
      </c>
      <c r="G16" s="6" t="s">
        <v>95</v>
      </c>
    </row>
    <row r="17" customFormat="false" ht="15" hidden="false" customHeight="false" outlineLevel="0" collapsed="false">
      <c r="A17" s="6" t="s">
        <v>96</v>
      </c>
      <c r="B17" s="20" t="n">
        <v>2</v>
      </c>
      <c r="C17" s="6" t="s">
        <v>97</v>
      </c>
      <c r="D17" s="20" t="n">
        <v>1</v>
      </c>
      <c r="E17" s="20" t="n">
        <v>4</v>
      </c>
      <c r="F17" s="6" t="s">
        <v>74</v>
      </c>
      <c r="G17" s="6"/>
    </row>
    <row r="18" customFormat="false" ht="15" hidden="false" customHeight="false" outlineLevel="0" collapsed="false">
      <c r="A18" s="6" t="s">
        <v>98</v>
      </c>
      <c r="B18" s="20" t="n">
        <v>3</v>
      </c>
      <c r="C18" s="6" t="s">
        <v>97</v>
      </c>
      <c r="D18" s="20" t="n">
        <v>2</v>
      </c>
      <c r="E18" s="20" t="n">
        <v>7</v>
      </c>
      <c r="F18" s="6" t="s">
        <v>74</v>
      </c>
      <c r="G18" s="6"/>
    </row>
    <row r="19" customFormat="false" ht="15" hidden="false" customHeight="false" outlineLevel="0" collapsed="false">
      <c r="A19" s="6" t="s">
        <v>99</v>
      </c>
      <c r="B19" s="20" t="n">
        <v>4</v>
      </c>
      <c r="C19" s="6" t="s">
        <v>97</v>
      </c>
      <c r="D19" s="20" t="n">
        <v>2</v>
      </c>
      <c r="E19" s="20" t="n">
        <v>10</v>
      </c>
      <c r="F19" s="6" t="s">
        <v>74</v>
      </c>
      <c r="G19" s="6"/>
    </row>
    <row r="20" customFormat="false" ht="15" hidden="false" customHeight="false" outlineLevel="0" collapsed="false">
      <c r="A20" s="3" t="s">
        <v>100</v>
      </c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6" t="s">
        <v>101</v>
      </c>
      <c r="B21" s="20" t="n">
        <v>150</v>
      </c>
      <c r="C21" s="6" t="s">
        <v>102</v>
      </c>
      <c r="D21" s="21"/>
      <c r="E21" s="21"/>
      <c r="F21" s="6" t="s">
        <v>71</v>
      </c>
      <c r="G21" s="6" t="s">
        <v>103</v>
      </c>
    </row>
    <row r="22" customFormat="false" ht="15" hidden="false" customHeight="false" outlineLevel="0" collapsed="false">
      <c r="A22" s="6" t="s">
        <v>104</v>
      </c>
      <c r="B22" s="20" t="n">
        <v>1200</v>
      </c>
      <c r="C22" s="6" t="s">
        <v>105</v>
      </c>
      <c r="D22" s="20" t="n">
        <v>1200</v>
      </c>
      <c r="E22" s="20" t="n">
        <v>1452</v>
      </c>
      <c r="F22" s="6" t="s">
        <v>71</v>
      </c>
      <c r="G22" s="6" t="s">
        <v>106</v>
      </c>
    </row>
    <row r="23" customFormat="false" ht="15" hidden="false" customHeight="false" outlineLevel="0" collapsed="false">
      <c r="A23" s="6" t="s">
        <v>107</v>
      </c>
      <c r="B23" s="20" t="n">
        <v>25</v>
      </c>
      <c r="C23" s="6" t="s">
        <v>108</v>
      </c>
      <c r="D23" s="20" t="n">
        <v>20</v>
      </c>
      <c r="E23" s="20" t="n">
        <v>30</v>
      </c>
      <c r="F23" s="6" t="s">
        <v>71</v>
      </c>
      <c r="G23" s="6" t="s">
        <v>109</v>
      </c>
    </row>
    <row r="24" customFormat="false" ht="15" hidden="false" customHeight="false" outlineLevel="0" collapsed="false">
      <c r="A24" s="6" t="s">
        <v>110</v>
      </c>
      <c r="B24" s="20" t="n">
        <v>25</v>
      </c>
      <c r="C24" s="6" t="s">
        <v>108</v>
      </c>
      <c r="D24" s="20" t="n">
        <v>18</v>
      </c>
      <c r="E24" s="20" t="n">
        <v>25</v>
      </c>
      <c r="F24" s="6" t="s">
        <v>71</v>
      </c>
      <c r="G24" s="6" t="s">
        <v>111</v>
      </c>
    </row>
    <row r="25" customFormat="false" ht="15" hidden="false" customHeight="false" outlineLevel="0" collapsed="false">
      <c r="A25" s="6" t="s">
        <v>112</v>
      </c>
      <c r="B25" s="20" t="n">
        <v>11</v>
      </c>
      <c r="C25" s="6" t="s">
        <v>113</v>
      </c>
      <c r="D25" s="20" t="n">
        <v>11</v>
      </c>
      <c r="E25" s="20" t="n">
        <v>13</v>
      </c>
      <c r="F25" s="6" t="s">
        <v>71</v>
      </c>
      <c r="G25" s="6" t="s">
        <v>103</v>
      </c>
    </row>
    <row r="26" customFormat="false" ht="15" hidden="false" customHeight="false" outlineLevel="0" collapsed="false">
      <c r="A26" s="6" t="s">
        <v>114</v>
      </c>
      <c r="B26" s="20" t="n">
        <v>8</v>
      </c>
      <c r="C26" s="6" t="s">
        <v>113</v>
      </c>
      <c r="D26" s="20" t="n">
        <v>8</v>
      </c>
      <c r="E26" s="20" t="n">
        <v>10</v>
      </c>
      <c r="F26" s="6" t="s">
        <v>71</v>
      </c>
      <c r="G26" s="6" t="s">
        <v>115</v>
      </c>
    </row>
    <row r="27" customFormat="false" ht="15" hidden="false" customHeight="false" outlineLevel="0" collapsed="false">
      <c r="A27" s="6" t="s">
        <v>116</v>
      </c>
      <c r="B27" s="18" t="n">
        <v>125</v>
      </c>
      <c r="C27" s="6" t="s">
        <v>117</v>
      </c>
      <c r="D27" s="22"/>
      <c r="E27" s="22"/>
      <c r="F27" s="6" t="s">
        <v>71</v>
      </c>
      <c r="G27" s="6" t="s">
        <v>118</v>
      </c>
    </row>
    <row r="28" customFormat="false" ht="15" hidden="false" customHeight="false" outlineLevel="0" collapsed="false">
      <c r="A28" s="6" t="s">
        <v>119</v>
      </c>
      <c r="B28" s="18" t="n">
        <v>50</v>
      </c>
      <c r="C28" s="6" t="s">
        <v>117</v>
      </c>
      <c r="D28" s="22"/>
      <c r="E28" s="22"/>
      <c r="F28" s="6" t="s">
        <v>71</v>
      </c>
      <c r="G28" s="6" t="s">
        <v>103</v>
      </c>
    </row>
    <row r="29" customFormat="false" ht="15" hidden="false" customHeight="false" outlineLevel="0" collapsed="false">
      <c r="A29" s="6" t="s">
        <v>120</v>
      </c>
      <c r="B29" s="18" t="n">
        <v>50000</v>
      </c>
      <c r="C29" s="6" t="s">
        <v>121</v>
      </c>
      <c r="D29" s="18" t="n">
        <v>30000</v>
      </c>
      <c r="E29" s="18" t="n">
        <v>80000</v>
      </c>
      <c r="F29" s="6" t="s">
        <v>71</v>
      </c>
      <c r="G29" s="6" t="s">
        <v>122</v>
      </c>
    </row>
    <row r="30" customFormat="false" ht="15" hidden="false" customHeight="false" outlineLevel="0" collapsed="false">
      <c r="A30" s="6" t="s">
        <v>123</v>
      </c>
      <c r="B30" s="23" t="n">
        <v>15</v>
      </c>
      <c r="C30" s="6" t="s">
        <v>124</v>
      </c>
      <c r="D30" s="23" t="n">
        <v>8</v>
      </c>
      <c r="E30" s="23" t="n">
        <v>21</v>
      </c>
      <c r="F30" s="6" t="s">
        <v>71</v>
      </c>
      <c r="G30" s="6" t="s">
        <v>125</v>
      </c>
    </row>
    <row r="31" customFormat="false" ht="15" hidden="false" customHeight="false" outlineLevel="0" collapsed="false">
      <c r="A31" s="6" t="s">
        <v>126</v>
      </c>
      <c r="B31" s="23" t="n">
        <v>12</v>
      </c>
      <c r="C31" s="6" t="s">
        <v>124</v>
      </c>
      <c r="D31" s="23" t="n">
        <v>8</v>
      </c>
      <c r="E31" s="23" t="n">
        <v>20</v>
      </c>
      <c r="F31" s="6" t="s">
        <v>71</v>
      </c>
      <c r="G31" s="6" t="s">
        <v>103</v>
      </c>
    </row>
    <row r="32" customFormat="false" ht="15" hidden="false" customHeight="false" outlineLevel="0" collapsed="false">
      <c r="A32" s="6" t="s">
        <v>127</v>
      </c>
      <c r="B32" s="24" t="n">
        <v>0</v>
      </c>
      <c r="C32" s="6" t="s">
        <v>128</v>
      </c>
      <c r="D32" s="25" t="n">
        <v>0</v>
      </c>
      <c r="E32" s="25" t="n">
        <v>0.5</v>
      </c>
      <c r="F32" s="6" t="s">
        <v>129</v>
      </c>
      <c r="G32" s="6" t="s">
        <v>130</v>
      </c>
    </row>
    <row r="33" customFormat="false" ht="15" hidden="false" customHeight="false" outlineLevel="0" collapsed="false">
      <c r="A33" s="6" t="s">
        <v>131</v>
      </c>
      <c r="B33" s="19" t="n">
        <v>0</v>
      </c>
      <c r="C33" s="6" t="s">
        <v>102</v>
      </c>
      <c r="D33" s="20" t="n">
        <v>0</v>
      </c>
      <c r="E33" s="20" t="n">
        <v>150</v>
      </c>
      <c r="F33" s="6" t="s">
        <v>129</v>
      </c>
      <c r="G33" s="6" t="s">
        <v>132</v>
      </c>
    </row>
    <row r="34" customFormat="false" ht="15" hidden="false" customHeight="false" outlineLevel="0" collapsed="false">
      <c r="A34" s="6" t="s">
        <v>133</v>
      </c>
      <c r="B34" s="19" t="n">
        <v>1</v>
      </c>
      <c r="C34" s="6" t="s">
        <v>134</v>
      </c>
      <c r="D34" s="20" t="n">
        <v>1</v>
      </c>
      <c r="E34" s="20" t="n">
        <v>3</v>
      </c>
      <c r="F34" s="6" t="s">
        <v>85</v>
      </c>
      <c r="G34" s="6" t="s">
        <v>135</v>
      </c>
    </row>
    <row r="35" customFormat="false" ht="15" hidden="false" customHeight="false" outlineLevel="0" collapsed="false">
      <c r="A35" s="3" t="s">
        <v>136</v>
      </c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12" t="s">
        <v>137</v>
      </c>
      <c r="B36" s="26" t="n">
        <v>1000</v>
      </c>
      <c r="C36" s="6" t="s">
        <v>138</v>
      </c>
      <c r="D36" s="22"/>
      <c r="E36" s="22"/>
      <c r="F36" s="6" t="s">
        <v>71</v>
      </c>
      <c r="G36" s="6" t="s">
        <v>139</v>
      </c>
    </row>
    <row r="37" customFormat="false" ht="15" hidden="false" customHeight="false" outlineLevel="0" collapsed="false">
      <c r="A37" s="6" t="s">
        <v>140</v>
      </c>
      <c r="B37" s="20" t="n">
        <v>13</v>
      </c>
      <c r="C37" s="6" t="s">
        <v>141</v>
      </c>
      <c r="D37" s="21"/>
      <c r="E37" s="21"/>
      <c r="F37" s="6" t="s">
        <v>71</v>
      </c>
      <c r="G37" s="6" t="s">
        <v>142</v>
      </c>
    </row>
    <row r="38" customFormat="false" ht="15" hidden="false" customHeight="false" outlineLevel="0" collapsed="false">
      <c r="A38" s="6" t="s">
        <v>143</v>
      </c>
      <c r="B38" s="20" t="n">
        <v>10</v>
      </c>
      <c r="C38" s="6" t="s">
        <v>144</v>
      </c>
      <c r="D38" s="21"/>
      <c r="E38" s="21"/>
      <c r="F38" s="6" t="s">
        <v>71</v>
      </c>
      <c r="G38" s="6" t="s">
        <v>145</v>
      </c>
    </row>
    <row r="39" customFormat="false" ht="15" hidden="false" customHeight="false" outlineLevel="0" collapsed="false">
      <c r="A39" s="6" t="s">
        <v>146</v>
      </c>
      <c r="B39" s="20" t="n">
        <v>3</v>
      </c>
      <c r="C39" s="6" t="s">
        <v>144</v>
      </c>
      <c r="D39" s="21"/>
      <c r="E39" s="21"/>
      <c r="F39" s="6" t="s">
        <v>71</v>
      </c>
      <c r="G39" s="6" t="s">
        <v>145</v>
      </c>
    </row>
    <row r="40" customFormat="false" ht="15" hidden="false" customHeight="false" outlineLevel="0" collapsed="false">
      <c r="A40" s="6" t="s">
        <v>147</v>
      </c>
      <c r="B40" s="18" t="n">
        <v>1000</v>
      </c>
      <c r="C40" s="6" t="s">
        <v>138</v>
      </c>
      <c r="D40" s="22"/>
      <c r="E40" s="22"/>
      <c r="F40" s="6" t="s">
        <v>71</v>
      </c>
      <c r="G40" s="6" t="s">
        <v>148</v>
      </c>
    </row>
    <row r="41" customFormat="false" ht="15" hidden="false" customHeight="false" outlineLevel="0" collapsed="false">
      <c r="A41" s="6" t="s">
        <v>149</v>
      </c>
      <c r="B41" s="20" t="n">
        <v>8</v>
      </c>
      <c r="C41" s="6" t="s">
        <v>150</v>
      </c>
      <c r="D41" s="20" t="n">
        <v>6</v>
      </c>
      <c r="E41" s="20" t="n">
        <v>12</v>
      </c>
      <c r="F41" s="6" t="s">
        <v>74</v>
      </c>
      <c r="G41" s="6" t="s">
        <v>151</v>
      </c>
    </row>
    <row r="42" customFormat="false" ht="15" hidden="false" customHeight="false" outlineLevel="0" collapsed="false">
      <c r="A42" s="6" t="s">
        <v>152</v>
      </c>
      <c r="B42" s="18" t="n">
        <v>800</v>
      </c>
      <c r="C42" s="6" t="s">
        <v>138</v>
      </c>
      <c r="D42" s="18" t="n">
        <v>600</v>
      </c>
      <c r="E42" s="18" t="n">
        <v>1000</v>
      </c>
      <c r="F42" s="6" t="s">
        <v>74</v>
      </c>
      <c r="G42" s="6" t="s">
        <v>153</v>
      </c>
    </row>
    <row r="43" customFormat="false" ht="15" hidden="false" customHeight="false" outlineLevel="0" collapsed="false">
      <c r="A43" s="6" t="s">
        <v>154</v>
      </c>
      <c r="B43" s="20" t="n">
        <v>30</v>
      </c>
      <c r="C43" s="6" t="s">
        <v>144</v>
      </c>
      <c r="D43" s="20" t="n">
        <v>25</v>
      </c>
      <c r="E43" s="20" t="n">
        <v>40</v>
      </c>
      <c r="F43" s="6" t="s">
        <v>74</v>
      </c>
      <c r="G43" s="6" t="s">
        <v>155</v>
      </c>
    </row>
    <row r="44" customFormat="false" ht="15" hidden="false" customHeight="false" outlineLevel="0" collapsed="false">
      <c r="A44" s="6" t="s">
        <v>156</v>
      </c>
      <c r="B44" s="20" t="n">
        <v>12</v>
      </c>
      <c r="C44" s="6" t="s">
        <v>144</v>
      </c>
      <c r="D44" s="20" t="n">
        <v>8</v>
      </c>
      <c r="E44" s="20" t="n">
        <v>16</v>
      </c>
      <c r="F44" s="6" t="s">
        <v>74</v>
      </c>
      <c r="G44" s="6" t="s">
        <v>157</v>
      </c>
    </row>
    <row r="45" customFormat="false" ht="15" hidden="false" customHeight="false" outlineLevel="0" collapsed="false">
      <c r="A45" s="6" t="s">
        <v>158</v>
      </c>
      <c r="B45" s="18" t="n">
        <v>512.5</v>
      </c>
      <c r="C45" s="6" t="s">
        <v>159</v>
      </c>
      <c r="D45" s="18" t="n">
        <v>501.5</v>
      </c>
      <c r="E45" s="18" t="n">
        <v>600</v>
      </c>
      <c r="F45" s="6" t="s">
        <v>66</v>
      </c>
      <c r="G45" s="6" t="s">
        <v>160</v>
      </c>
    </row>
    <row r="46" customFormat="false" ht="15" hidden="false" customHeight="false" outlineLevel="0" collapsed="false">
      <c r="A46" s="6" t="s">
        <v>161</v>
      </c>
      <c r="B46" s="25" t="n">
        <v>0.13</v>
      </c>
      <c r="C46" s="6" t="s">
        <v>162</v>
      </c>
      <c r="D46" s="25" t="n">
        <v>0.12</v>
      </c>
      <c r="E46" s="25" t="n">
        <v>0.2</v>
      </c>
      <c r="F46" s="6" t="s">
        <v>74</v>
      </c>
      <c r="G46" s="6"/>
    </row>
    <row r="47" customFormat="false" ht="15" hidden="false" customHeight="false" outlineLevel="0" collapsed="false">
      <c r="A47" s="3" t="s">
        <v>163</v>
      </c>
      <c r="B47" s="4"/>
      <c r="C47" s="4"/>
      <c r="D47" s="4"/>
      <c r="E47" s="4"/>
      <c r="F47" s="4"/>
      <c r="G47" s="4"/>
    </row>
    <row r="48" customFormat="false" ht="15" hidden="false" customHeight="false" outlineLevel="0" collapsed="false">
      <c r="A48" s="6" t="s">
        <v>164</v>
      </c>
      <c r="B48" s="23" t="n">
        <v>8.5</v>
      </c>
      <c r="C48" s="6" t="s">
        <v>165</v>
      </c>
      <c r="D48" s="23" t="n">
        <v>7.5</v>
      </c>
      <c r="E48" s="23" t="n">
        <v>9</v>
      </c>
      <c r="F48" s="6" t="s">
        <v>66</v>
      </c>
      <c r="G48" s="6" t="s">
        <v>166</v>
      </c>
    </row>
    <row r="49" customFormat="false" ht="15" hidden="false" customHeight="false" outlineLevel="0" collapsed="false">
      <c r="A49" s="6" t="s">
        <v>167</v>
      </c>
      <c r="B49" s="20" t="n">
        <v>30</v>
      </c>
      <c r="C49" s="6" t="s">
        <v>168</v>
      </c>
      <c r="D49" s="20" t="n">
        <v>20</v>
      </c>
      <c r="E49" s="20" t="n">
        <v>45</v>
      </c>
      <c r="F49" s="6" t="s">
        <v>74</v>
      </c>
      <c r="G49" s="6" t="s">
        <v>169</v>
      </c>
    </row>
    <row r="50" customFormat="false" ht="15" hidden="false" customHeight="false" outlineLevel="0" collapsed="false">
      <c r="A50" s="6" t="s">
        <v>170</v>
      </c>
      <c r="B50" s="20" t="n">
        <v>10</v>
      </c>
      <c r="C50" s="6" t="s">
        <v>171</v>
      </c>
      <c r="D50" s="20" t="n">
        <v>8</v>
      </c>
      <c r="E50" s="20" t="n">
        <v>16</v>
      </c>
      <c r="F50" s="6" t="s">
        <v>74</v>
      </c>
      <c r="G50" s="6"/>
    </row>
    <row r="51" customFormat="false" ht="15" hidden="false" customHeight="false" outlineLevel="0" collapsed="false">
      <c r="A51" s="6" t="s">
        <v>172</v>
      </c>
      <c r="B51" s="25" t="n">
        <v>0.6</v>
      </c>
      <c r="C51" s="6" t="s">
        <v>173</v>
      </c>
      <c r="D51" s="25" t="n">
        <v>0.5</v>
      </c>
      <c r="E51" s="25" t="n">
        <v>0.8</v>
      </c>
      <c r="F51" s="6" t="s">
        <v>74</v>
      </c>
      <c r="G51" s="6"/>
    </row>
    <row r="52" customFormat="false" ht="15" hidden="false" customHeight="false" outlineLevel="0" collapsed="false">
      <c r="A52" s="6" t="s">
        <v>174</v>
      </c>
      <c r="B52" s="20" t="n">
        <v>20</v>
      </c>
      <c r="C52" s="6" t="s">
        <v>175</v>
      </c>
      <c r="D52" s="20" t="n">
        <v>15</v>
      </c>
      <c r="E52" s="20" t="n">
        <v>30</v>
      </c>
      <c r="F52" s="6" t="s">
        <v>85</v>
      </c>
      <c r="G52" s="6" t="s">
        <v>176</v>
      </c>
    </row>
    <row r="53" customFormat="false" ht="15" hidden="false" customHeight="false" outlineLevel="0" collapsed="false">
      <c r="A53" s="6" t="s">
        <v>177</v>
      </c>
      <c r="B53" s="20" t="n">
        <v>10</v>
      </c>
      <c r="C53" s="6" t="s">
        <v>178</v>
      </c>
      <c r="D53" s="20" t="n">
        <v>5</v>
      </c>
      <c r="E53" s="20" t="n">
        <v>20</v>
      </c>
      <c r="F53" s="6" t="s">
        <v>74</v>
      </c>
      <c r="G53" s="6"/>
    </row>
    <row r="54" customFormat="false" ht="15" hidden="false" customHeight="false" outlineLevel="0" collapsed="false">
      <c r="A54" s="6" t="s">
        <v>179</v>
      </c>
      <c r="B54" s="20" t="n">
        <v>3</v>
      </c>
      <c r="C54" s="6" t="s">
        <v>180</v>
      </c>
      <c r="D54" s="20" t="n">
        <v>2</v>
      </c>
      <c r="E54" s="20" t="n">
        <v>5</v>
      </c>
      <c r="F54" s="6" t="s">
        <v>85</v>
      </c>
      <c r="G54" s="6" t="s">
        <v>181</v>
      </c>
    </row>
    <row r="55" customFormat="false" ht="15" hidden="false" customHeight="false" outlineLevel="0" collapsed="false">
      <c r="A55" s="6" t="s">
        <v>182</v>
      </c>
      <c r="B55" s="20" t="n">
        <v>200</v>
      </c>
      <c r="C55" s="6" t="s">
        <v>168</v>
      </c>
      <c r="D55" s="20" t="n">
        <v>150</v>
      </c>
      <c r="E55" s="20" t="n">
        <v>250</v>
      </c>
      <c r="F55" s="6" t="s">
        <v>74</v>
      </c>
      <c r="G55" s="6" t="s">
        <v>183</v>
      </c>
    </row>
    <row r="56" customFormat="false" ht="15" hidden="false" customHeight="false" outlineLevel="0" collapsed="false">
      <c r="A56" s="6" t="s">
        <v>184</v>
      </c>
      <c r="B56" s="18" t="n">
        <v>150</v>
      </c>
      <c r="C56" s="6" t="s">
        <v>185</v>
      </c>
      <c r="D56" s="18" t="n">
        <v>85</v>
      </c>
      <c r="E56" s="18" t="n">
        <v>250</v>
      </c>
      <c r="F56" s="6" t="s">
        <v>74</v>
      </c>
      <c r="G56" s="6" t="s">
        <v>186</v>
      </c>
    </row>
    <row r="57" customFormat="false" ht="15" hidden="false" customHeight="false" outlineLevel="0" collapsed="false">
      <c r="A57" s="3" t="s">
        <v>187</v>
      </c>
      <c r="B57" s="4"/>
      <c r="C57" s="4"/>
      <c r="D57" s="4"/>
      <c r="E57" s="4"/>
      <c r="F57" s="4"/>
      <c r="G57" s="4"/>
    </row>
    <row r="58" customFormat="false" ht="15" hidden="false" customHeight="false" outlineLevel="0" collapsed="false">
      <c r="A58" s="6" t="s">
        <v>188</v>
      </c>
      <c r="B58" s="25" t="n">
        <v>0.08</v>
      </c>
      <c r="C58" s="6" t="s">
        <v>189</v>
      </c>
      <c r="D58" s="25" t="n">
        <v>0.06</v>
      </c>
      <c r="E58" s="25" t="n">
        <v>0.12</v>
      </c>
      <c r="F58" s="6" t="s">
        <v>74</v>
      </c>
      <c r="G58" s="6"/>
    </row>
    <row r="59" customFormat="false" ht="15" hidden="false" customHeight="false" outlineLevel="0" collapsed="false">
      <c r="A59" s="6" t="s">
        <v>190</v>
      </c>
      <c r="B59" s="25" t="n">
        <v>0.1</v>
      </c>
      <c r="C59" s="6" t="s">
        <v>191</v>
      </c>
      <c r="D59" s="25" t="n">
        <v>0.05</v>
      </c>
      <c r="E59" s="25" t="n">
        <v>0.15</v>
      </c>
      <c r="F59" s="6" t="s">
        <v>85</v>
      </c>
      <c r="G59" s="6" t="s">
        <v>192</v>
      </c>
    </row>
    <row r="60" customFormat="false" ht="15" hidden="false" customHeight="false" outlineLevel="0" collapsed="false">
      <c r="A60" s="6" t="s">
        <v>193</v>
      </c>
      <c r="B60" s="25" t="n">
        <v>0.015</v>
      </c>
      <c r="C60" s="6" t="s">
        <v>194</v>
      </c>
      <c r="D60" s="25" t="n">
        <v>0.01</v>
      </c>
      <c r="E60" s="25" t="n">
        <v>0.03</v>
      </c>
      <c r="F60" s="6" t="s">
        <v>74</v>
      </c>
      <c r="G60" s="6"/>
    </row>
    <row r="61" customFormat="false" ht="15" hidden="false" customHeight="false" outlineLevel="0" collapsed="false">
      <c r="A61" s="6" t="s">
        <v>195</v>
      </c>
      <c r="B61" s="25" t="n">
        <v>0.25</v>
      </c>
      <c r="C61" s="6" t="s">
        <v>173</v>
      </c>
      <c r="D61" s="27"/>
      <c r="E61" s="27"/>
      <c r="F61" s="6" t="s">
        <v>71</v>
      </c>
      <c r="G61" s="6" t="s">
        <v>196</v>
      </c>
    </row>
    <row r="62" customFormat="false" ht="15" hidden="false" customHeight="false" outlineLevel="0" collapsed="false">
      <c r="A62" s="6" t="s">
        <v>197</v>
      </c>
      <c r="B62" s="20" t="n">
        <v>13</v>
      </c>
      <c r="C62" s="6" t="s">
        <v>198</v>
      </c>
      <c r="D62" s="20" t="n">
        <v>13</v>
      </c>
      <c r="E62" s="20" t="n">
        <v>13.5</v>
      </c>
      <c r="F62" s="6" t="s">
        <v>66</v>
      </c>
      <c r="G62" s="6" t="s">
        <v>199</v>
      </c>
    </row>
    <row r="63" customFormat="false" ht="15" hidden="false" customHeight="false" outlineLevel="0" collapsed="false">
      <c r="A63" s="6" t="s">
        <v>200</v>
      </c>
      <c r="B63" s="20" t="n">
        <v>1540</v>
      </c>
      <c r="C63" s="6" t="s">
        <v>201</v>
      </c>
      <c r="D63" s="20" t="n">
        <v>1400</v>
      </c>
      <c r="E63" s="20" t="n">
        <v>1540</v>
      </c>
      <c r="F63" s="6" t="s">
        <v>66</v>
      </c>
      <c r="G63" s="6" t="s">
        <v>202</v>
      </c>
    </row>
    <row r="64" customFormat="false" ht="15" hidden="false" customHeight="false" outlineLevel="0" collapsed="false">
      <c r="A64" s="6" t="s">
        <v>203</v>
      </c>
      <c r="B64" s="20" t="n">
        <v>30</v>
      </c>
      <c r="C64" s="6" t="s">
        <v>108</v>
      </c>
      <c r="D64" s="20" t="n">
        <v>20</v>
      </c>
      <c r="E64" s="20" t="n">
        <v>40</v>
      </c>
      <c r="F64" s="6" t="s">
        <v>85</v>
      </c>
      <c r="G64" s="6" t="s">
        <v>204</v>
      </c>
    </row>
    <row r="65" customFormat="false" ht="15" hidden="false" customHeight="false" outlineLevel="0" collapsed="false">
      <c r="A65" s="6" t="s">
        <v>205</v>
      </c>
      <c r="B65" s="23" t="n">
        <v>0.4</v>
      </c>
      <c r="C65" s="6" t="s">
        <v>206</v>
      </c>
      <c r="D65" s="23" t="n">
        <v>0.3</v>
      </c>
      <c r="E65" s="23" t="n">
        <v>0.6</v>
      </c>
      <c r="F65" s="6" t="s">
        <v>71</v>
      </c>
      <c r="G65" s="6" t="s">
        <v>207</v>
      </c>
    </row>
    <row r="66" customFormat="false" ht="15" hidden="false" customHeight="false" outlineLevel="0" collapsed="false">
      <c r="A66" s="6" t="s">
        <v>208</v>
      </c>
      <c r="B66" s="23" t="n">
        <v>0.05</v>
      </c>
      <c r="C66" s="6" t="s">
        <v>206</v>
      </c>
      <c r="D66" s="23" t="n">
        <v>0.03</v>
      </c>
      <c r="E66" s="23" t="n">
        <v>0.1</v>
      </c>
      <c r="F66" s="6" t="s">
        <v>74</v>
      </c>
      <c r="G66" s="6"/>
    </row>
    <row r="67" customFormat="false" ht="15" hidden="false" customHeight="false" outlineLevel="0" collapsed="false">
      <c r="A67" s="6" t="s">
        <v>209</v>
      </c>
      <c r="B67" s="18" t="n">
        <v>84</v>
      </c>
      <c r="C67" s="6" t="s">
        <v>210</v>
      </c>
      <c r="D67" s="18" t="n">
        <v>75</v>
      </c>
      <c r="E67" s="18" t="n">
        <v>95</v>
      </c>
      <c r="F67" s="6" t="s">
        <v>66</v>
      </c>
      <c r="G67" s="6" t="s">
        <v>211</v>
      </c>
    </row>
    <row r="68" customFormat="false" ht="15" hidden="false" customHeight="false" outlineLevel="0" collapsed="false">
      <c r="A68" s="6" t="s">
        <v>212</v>
      </c>
      <c r="B68" s="23" t="n">
        <v>7</v>
      </c>
      <c r="C68" s="6" t="s">
        <v>210</v>
      </c>
      <c r="D68" s="23" t="n">
        <v>5</v>
      </c>
      <c r="E68" s="23" t="n">
        <v>10</v>
      </c>
      <c r="F68" s="6" t="s">
        <v>74</v>
      </c>
      <c r="G68" s="6"/>
    </row>
    <row r="69" customFormat="false" ht="15" hidden="false" customHeight="false" outlineLevel="0" collapsed="false">
      <c r="A69" s="6" t="s">
        <v>213</v>
      </c>
      <c r="B69" s="23" t="n">
        <v>4</v>
      </c>
      <c r="C69" s="6" t="s">
        <v>210</v>
      </c>
      <c r="D69" s="23" t="n">
        <v>3</v>
      </c>
      <c r="E69" s="23" t="n">
        <v>6</v>
      </c>
      <c r="F69" s="6" t="s">
        <v>74</v>
      </c>
      <c r="G69" s="6"/>
    </row>
    <row r="70" customFormat="false" ht="15" hidden="false" customHeight="false" outlineLevel="0" collapsed="false">
      <c r="A70" s="6" t="s">
        <v>214</v>
      </c>
      <c r="B70" s="23" t="n">
        <v>3</v>
      </c>
      <c r="C70" s="6" t="s">
        <v>210</v>
      </c>
      <c r="D70" s="23" t="n">
        <v>2</v>
      </c>
      <c r="E70" s="23" t="n">
        <v>5</v>
      </c>
      <c r="F70" s="6" t="s">
        <v>74</v>
      </c>
      <c r="G70" s="6"/>
    </row>
    <row r="71" customFormat="false" ht="15" hidden="false" customHeight="false" outlineLevel="0" collapsed="false">
      <c r="A71" s="6" t="s">
        <v>215</v>
      </c>
      <c r="B71" s="18" t="n">
        <v>60</v>
      </c>
      <c r="C71" s="6" t="s">
        <v>210</v>
      </c>
      <c r="D71" s="18" t="n">
        <v>50</v>
      </c>
      <c r="E71" s="18" t="n">
        <v>84</v>
      </c>
      <c r="F71" s="6" t="s">
        <v>74</v>
      </c>
      <c r="G71" s="6"/>
    </row>
    <row r="72" customFormat="false" ht="15" hidden="false" customHeight="false" outlineLevel="0" collapsed="false">
      <c r="A72" s="6" t="s">
        <v>216</v>
      </c>
      <c r="B72" s="23" t="n">
        <v>5</v>
      </c>
      <c r="C72" s="6" t="s">
        <v>210</v>
      </c>
      <c r="D72" s="23" t="n">
        <v>3</v>
      </c>
      <c r="E72" s="23" t="n">
        <v>7</v>
      </c>
      <c r="F72" s="6" t="s">
        <v>74</v>
      </c>
      <c r="G72" s="6"/>
    </row>
    <row r="73" customFormat="false" ht="15" hidden="false" customHeight="false" outlineLevel="0" collapsed="false">
      <c r="A73" s="6" t="s">
        <v>217</v>
      </c>
      <c r="B73" s="23" t="n">
        <v>2</v>
      </c>
      <c r="C73" s="6" t="s">
        <v>210</v>
      </c>
      <c r="D73" s="23" t="n">
        <v>1</v>
      </c>
      <c r="E73" s="23" t="n">
        <v>4</v>
      </c>
      <c r="F73" s="6" t="s">
        <v>74</v>
      </c>
      <c r="G73" s="6"/>
    </row>
    <row r="74" customFormat="false" ht="15" hidden="false" customHeight="false" outlineLevel="0" collapsed="false">
      <c r="A74" s="3" t="s">
        <v>218</v>
      </c>
      <c r="B74" s="4"/>
      <c r="C74" s="4"/>
      <c r="D74" s="4"/>
      <c r="E74" s="4"/>
      <c r="F74" s="4"/>
      <c r="G74" s="4"/>
    </row>
    <row r="75" customFormat="false" ht="15" hidden="false" customHeight="false" outlineLevel="0" collapsed="false">
      <c r="A75" s="6" t="s">
        <v>219</v>
      </c>
      <c r="B75" s="20" t="n">
        <v>6</v>
      </c>
      <c r="C75" s="6" t="s">
        <v>79</v>
      </c>
      <c r="D75" s="20" t="n">
        <v>3</v>
      </c>
      <c r="E75" s="20" t="n">
        <v>8</v>
      </c>
      <c r="F75" s="6" t="s">
        <v>74</v>
      </c>
      <c r="G75" s="6" t="s">
        <v>220</v>
      </c>
    </row>
    <row r="76" customFormat="false" ht="15" hidden="false" customHeight="false" outlineLevel="0" collapsed="false">
      <c r="A76" s="6" t="s">
        <v>221</v>
      </c>
      <c r="B76" s="20" t="n">
        <v>240</v>
      </c>
      <c r="C76" s="6" t="s">
        <v>70</v>
      </c>
      <c r="D76" s="20" t="n">
        <v>150</v>
      </c>
      <c r="E76" s="20" t="n">
        <v>270</v>
      </c>
      <c r="F76" s="6" t="s">
        <v>74</v>
      </c>
      <c r="G76" s="6" t="s">
        <v>222</v>
      </c>
    </row>
    <row r="77" customFormat="false" ht="15" hidden="false" customHeight="false" outlineLevel="0" collapsed="false">
      <c r="A77" s="6" t="s">
        <v>223</v>
      </c>
      <c r="B77" s="23" t="n">
        <v>12</v>
      </c>
      <c r="C77" s="6" t="s">
        <v>124</v>
      </c>
      <c r="D77" s="23" t="n">
        <v>10</v>
      </c>
      <c r="E77" s="23" t="n">
        <v>20</v>
      </c>
      <c r="F77" s="6" t="s">
        <v>66</v>
      </c>
      <c r="G77" s="6" t="s">
        <v>224</v>
      </c>
    </row>
    <row r="78" customFormat="false" ht="15" hidden="false" customHeight="false" outlineLevel="0" collapsed="false">
      <c r="A78" s="6" t="s">
        <v>225</v>
      </c>
      <c r="B78" s="23" t="n">
        <v>1</v>
      </c>
      <c r="C78" s="6" t="s">
        <v>124</v>
      </c>
      <c r="D78" s="23" t="n">
        <v>0.5</v>
      </c>
      <c r="E78" s="23" t="n">
        <v>1.5</v>
      </c>
      <c r="F78" s="6" t="s">
        <v>74</v>
      </c>
      <c r="G78" s="6" t="s">
        <v>226</v>
      </c>
    </row>
    <row r="79" customFormat="false" ht="15" hidden="false" customHeight="false" outlineLevel="0" collapsed="false">
      <c r="A79" s="6" t="s">
        <v>227</v>
      </c>
      <c r="B79" s="25" t="n">
        <v>0.12</v>
      </c>
      <c r="C79" s="6" t="s">
        <v>228</v>
      </c>
      <c r="D79" s="25" t="n">
        <v>0.08</v>
      </c>
      <c r="E79" s="25" t="n">
        <v>0.2</v>
      </c>
      <c r="F79" s="6" t="s">
        <v>74</v>
      </c>
      <c r="G79" s="6" t="s">
        <v>229</v>
      </c>
    </row>
    <row r="80" customFormat="false" ht="15" hidden="false" customHeight="false" outlineLevel="0" collapsed="false">
      <c r="A80" s="6" t="s">
        <v>230</v>
      </c>
      <c r="B80" s="18" t="n">
        <v>26</v>
      </c>
      <c r="C80" s="6" t="s">
        <v>124</v>
      </c>
      <c r="D80" s="18" t="n">
        <v>20</v>
      </c>
      <c r="E80" s="18" t="n">
        <v>32</v>
      </c>
      <c r="F80" s="6" t="s">
        <v>85</v>
      </c>
      <c r="G80" s="6" t="s">
        <v>231</v>
      </c>
    </row>
    <row r="81" customFormat="false" ht="15" hidden="false" customHeight="false" outlineLevel="0" collapsed="false">
      <c r="A81" s="6" t="s">
        <v>232</v>
      </c>
      <c r="B81" s="20" t="n">
        <v>10</v>
      </c>
      <c r="C81" s="6" t="s">
        <v>198</v>
      </c>
      <c r="D81" s="21"/>
      <c r="E81" s="21"/>
      <c r="F81" s="6" t="s">
        <v>74</v>
      </c>
      <c r="G81" s="6"/>
    </row>
    <row r="82" customFormat="false" ht="15" hidden="false" customHeight="false" outlineLevel="0" collapsed="false">
      <c r="A82" s="6" t="s">
        <v>233</v>
      </c>
      <c r="B82" s="23" t="n">
        <v>10</v>
      </c>
      <c r="C82" s="6" t="s">
        <v>234</v>
      </c>
      <c r="D82" s="23" t="n">
        <v>6</v>
      </c>
      <c r="E82" s="23" t="n">
        <v>45</v>
      </c>
      <c r="F82" s="6" t="s">
        <v>74</v>
      </c>
      <c r="G82" s="6" t="s">
        <v>235</v>
      </c>
    </row>
    <row r="83" customFormat="false" ht="15" hidden="false" customHeight="false" outlineLevel="0" collapsed="false">
      <c r="A83" s="6" t="s">
        <v>236</v>
      </c>
      <c r="B83" s="23" t="n">
        <v>10</v>
      </c>
      <c r="C83" s="6" t="s">
        <v>234</v>
      </c>
      <c r="D83" s="23" t="n">
        <v>6</v>
      </c>
      <c r="E83" s="23" t="n">
        <v>14</v>
      </c>
      <c r="F83" s="6" t="s">
        <v>74</v>
      </c>
      <c r="G83" s="6"/>
    </row>
    <row r="84" customFormat="false" ht="15" hidden="false" customHeight="false" outlineLevel="0" collapsed="false">
      <c r="A84" s="3" t="s">
        <v>237</v>
      </c>
      <c r="B84" s="4"/>
      <c r="C84" s="4"/>
      <c r="D84" s="4"/>
      <c r="E84" s="4"/>
      <c r="F84" s="4"/>
      <c r="G84" s="4"/>
    </row>
    <row r="85" customFormat="false" ht="15" hidden="false" customHeight="false" outlineLevel="0" collapsed="false">
      <c r="A85" s="6" t="s">
        <v>238</v>
      </c>
      <c r="B85" s="20" t="n">
        <v>6</v>
      </c>
      <c r="C85" s="6" t="s">
        <v>79</v>
      </c>
      <c r="D85" s="20" t="n">
        <v>3</v>
      </c>
      <c r="E85" s="20" t="n">
        <v>8</v>
      </c>
      <c r="F85" s="6" t="s">
        <v>74</v>
      </c>
      <c r="G85" s="6"/>
    </row>
    <row r="86" customFormat="false" ht="15" hidden="false" customHeight="false" outlineLevel="0" collapsed="false">
      <c r="A86" s="6" t="s">
        <v>239</v>
      </c>
      <c r="B86" s="20" t="n">
        <v>60</v>
      </c>
      <c r="C86" s="6" t="s">
        <v>70</v>
      </c>
      <c r="D86" s="20" t="n">
        <v>45</v>
      </c>
      <c r="E86" s="20" t="n">
        <v>75</v>
      </c>
      <c r="F86" s="6" t="s">
        <v>66</v>
      </c>
      <c r="G86" s="6" t="s">
        <v>240</v>
      </c>
    </row>
    <row r="87" customFormat="false" ht="15" hidden="false" customHeight="false" outlineLevel="0" collapsed="false">
      <c r="A87" s="6" t="s">
        <v>241</v>
      </c>
      <c r="B87" s="18" t="n">
        <v>70</v>
      </c>
      <c r="C87" s="6" t="s">
        <v>124</v>
      </c>
      <c r="D87" s="18" t="n">
        <v>40</v>
      </c>
      <c r="E87" s="18" t="n">
        <v>133</v>
      </c>
      <c r="F87" s="6" t="s">
        <v>66</v>
      </c>
      <c r="G87" s="6" t="s">
        <v>242</v>
      </c>
    </row>
    <row r="88" customFormat="false" ht="15" hidden="false" customHeight="false" outlineLevel="0" collapsed="false">
      <c r="A88" s="6" t="s">
        <v>243</v>
      </c>
      <c r="B88" s="23" t="n">
        <v>3</v>
      </c>
      <c r="C88" s="6" t="s">
        <v>124</v>
      </c>
      <c r="D88" s="23" t="n">
        <v>2</v>
      </c>
      <c r="E88" s="23" t="n">
        <v>5</v>
      </c>
      <c r="F88" s="6" t="s">
        <v>74</v>
      </c>
      <c r="G88" s="6"/>
    </row>
    <row r="89" customFormat="false" ht="15" hidden="false" customHeight="false" outlineLevel="0" collapsed="false">
      <c r="A89" s="6" t="s">
        <v>244</v>
      </c>
      <c r="B89" s="25" t="n">
        <v>0.08</v>
      </c>
      <c r="C89" s="6" t="s">
        <v>228</v>
      </c>
      <c r="D89" s="25" t="n">
        <v>0.05</v>
      </c>
      <c r="E89" s="25" t="n">
        <v>0.15</v>
      </c>
      <c r="F89" s="6" t="s">
        <v>74</v>
      </c>
      <c r="G89" s="6" t="s">
        <v>245</v>
      </c>
    </row>
    <row r="90" customFormat="false" ht="15" hidden="false" customHeight="false" outlineLevel="0" collapsed="false">
      <c r="A90" s="6" t="s">
        <v>246</v>
      </c>
      <c r="B90" s="18" t="n">
        <v>120</v>
      </c>
      <c r="C90" s="6" t="s">
        <v>124</v>
      </c>
      <c r="D90" s="18" t="n">
        <v>90</v>
      </c>
      <c r="E90" s="18" t="n">
        <v>150</v>
      </c>
      <c r="F90" s="6" t="s">
        <v>85</v>
      </c>
      <c r="G90" s="6" t="s">
        <v>247</v>
      </c>
    </row>
    <row r="91" customFormat="false" ht="15" hidden="false" customHeight="false" outlineLevel="0" collapsed="false">
      <c r="A91" s="6" t="s">
        <v>248</v>
      </c>
      <c r="B91" s="20" t="n">
        <v>3</v>
      </c>
      <c r="C91" s="6" t="s">
        <v>198</v>
      </c>
      <c r="D91" s="20" t="n">
        <v>3</v>
      </c>
      <c r="E91" s="20" t="n">
        <v>5</v>
      </c>
      <c r="F91" s="6" t="s">
        <v>74</v>
      </c>
      <c r="G91" s="6" t="s">
        <v>249</v>
      </c>
    </row>
    <row r="92" customFormat="false" ht="15" hidden="false" customHeight="false" outlineLevel="0" collapsed="false">
      <c r="A92" s="6" t="s">
        <v>250</v>
      </c>
      <c r="B92" s="18" t="n">
        <v>30</v>
      </c>
      <c r="C92" s="6" t="s">
        <v>251</v>
      </c>
      <c r="D92" s="18" t="n">
        <v>15</v>
      </c>
      <c r="E92" s="18" t="n">
        <v>45</v>
      </c>
      <c r="F92" s="6" t="s">
        <v>66</v>
      </c>
      <c r="G92" s="6" t="s">
        <v>252</v>
      </c>
    </row>
    <row r="93" customFormat="false" ht="15" hidden="false" customHeight="false" outlineLevel="0" collapsed="false">
      <c r="A93" s="6" t="s">
        <v>253</v>
      </c>
      <c r="B93" s="23" t="n">
        <v>5</v>
      </c>
      <c r="C93" s="6" t="s">
        <v>251</v>
      </c>
      <c r="D93" s="23" t="n">
        <v>3</v>
      </c>
      <c r="E93" s="23" t="n">
        <v>8</v>
      </c>
      <c r="F93" s="6" t="s">
        <v>74</v>
      </c>
      <c r="G93" s="6"/>
    </row>
    <row r="94" customFormat="false" ht="15" hidden="false" customHeight="false" outlineLevel="0" collapsed="false">
      <c r="A94" s="3" t="s">
        <v>254</v>
      </c>
      <c r="B94" s="4"/>
      <c r="C94" s="4"/>
      <c r="D94" s="4"/>
      <c r="E94" s="4"/>
      <c r="F94" s="4"/>
      <c r="G94" s="4"/>
    </row>
    <row r="95" customFormat="false" ht="15" hidden="false" customHeight="false" outlineLevel="0" collapsed="false">
      <c r="A95" s="6" t="s">
        <v>255</v>
      </c>
      <c r="B95" s="28" t="n">
        <v>7</v>
      </c>
      <c r="C95" s="6" t="s">
        <v>256</v>
      </c>
      <c r="D95" s="28" t="n">
        <v>5.5</v>
      </c>
      <c r="E95" s="28" t="n">
        <v>9</v>
      </c>
      <c r="F95" s="6" t="s">
        <v>85</v>
      </c>
      <c r="G95" s="6" t="s">
        <v>257</v>
      </c>
    </row>
    <row r="96" customFormat="false" ht="15" hidden="false" customHeight="false" outlineLevel="0" collapsed="false">
      <c r="A96" s="6" t="s">
        <v>258</v>
      </c>
      <c r="B96" s="18" t="n">
        <v>60000</v>
      </c>
      <c r="C96" s="6" t="s">
        <v>259</v>
      </c>
      <c r="D96" s="18" t="n">
        <v>35000</v>
      </c>
      <c r="E96" s="18" t="n">
        <v>70000</v>
      </c>
      <c r="F96" s="6" t="s">
        <v>71</v>
      </c>
      <c r="G96" s="6" t="s">
        <v>260</v>
      </c>
    </row>
    <row r="97" customFormat="false" ht="15" hidden="false" customHeight="false" outlineLevel="0" collapsed="false">
      <c r="A97" s="6" t="s">
        <v>261</v>
      </c>
      <c r="B97" s="18" t="n">
        <v>22000</v>
      </c>
      <c r="C97" s="6" t="s">
        <v>259</v>
      </c>
      <c r="D97" s="18" t="n">
        <v>18000</v>
      </c>
      <c r="E97" s="18" t="n">
        <v>28000</v>
      </c>
      <c r="F97" s="6" t="s">
        <v>74</v>
      </c>
      <c r="G97" s="6"/>
    </row>
    <row r="98" customFormat="false" ht="15" hidden="false" customHeight="false" outlineLevel="0" collapsed="false">
      <c r="A98" s="6" t="s">
        <v>262</v>
      </c>
      <c r="B98" s="18" t="n">
        <v>20000</v>
      </c>
      <c r="C98" s="6" t="s">
        <v>259</v>
      </c>
      <c r="D98" s="18" t="n">
        <v>15000</v>
      </c>
      <c r="E98" s="18" t="n">
        <v>25000</v>
      </c>
      <c r="F98" s="6" t="s">
        <v>71</v>
      </c>
      <c r="G98" s="6" t="s">
        <v>207</v>
      </c>
    </row>
    <row r="99" customFormat="false" ht="15" hidden="false" customHeight="false" outlineLevel="0" collapsed="false">
      <c r="A99" s="6" t="s">
        <v>263</v>
      </c>
      <c r="B99" s="18" t="n">
        <v>14000</v>
      </c>
      <c r="C99" s="6" t="s">
        <v>259</v>
      </c>
      <c r="D99" s="18" t="n">
        <v>10000</v>
      </c>
      <c r="E99" s="18" t="n">
        <v>18000</v>
      </c>
      <c r="F99" s="6" t="s">
        <v>74</v>
      </c>
      <c r="G99" s="6"/>
    </row>
    <row r="100" customFormat="false" ht="15" hidden="false" customHeight="false" outlineLevel="0" collapsed="false">
      <c r="A100" s="6" t="s">
        <v>264</v>
      </c>
      <c r="B100" s="29" t="n">
        <v>2000</v>
      </c>
      <c r="C100" s="6" t="s">
        <v>265</v>
      </c>
      <c r="D100" s="29" t="n">
        <v>1500</v>
      </c>
      <c r="E100" s="29" t="n">
        <v>3000</v>
      </c>
      <c r="F100" s="6" t="s">
        <v>85</v>
      </c>
      <c r="G100" s="6" t="s">
        <v>266</v>
      </c>
    </row>
    <row r="101" customFormat="false" ht="15" hidden="false" customHeight="false" outlineLevel="0" collapsed="false">
      <c r="A101" s="6" t="s">
        <v>267</v>
      </c>
      <c r="B101" s="29" t="n">
        <v>4000</v>
      </c>
      <c r="C101" s="6" t="s">
        <v>268</v>
      </c>
      <c r="D101" s="29" t="n">
        <v>3500</v>
      </c>
      <c r="E101" s="29" t="n">
        <v>4800</v>
      </c>
      <c r="F101" s="6" t="s">
        <v>66</v>
      </c>
      <c r="G101" s="6" t="s">
        <v>269</v>
      </c>
    </row>
    <row r="102" customFormat="false" ht="15" hidden="false" customHeight="false" outlineLevel="0" collapsed="false">
      <c r="A102" s="6" t="s">
        <v>270</v>
      </c>
      <c r="B102" s="19" t="n">
        <v>1</v>
      </c>
      <c r="C102" s="6" t="s">
        <v>271</v>
      </c>
      <c r="D102" s="20" t="n">
        <v>0</v>
      </c>
      <c r="E102" s="20" t="n">
        <v>1</v>
      </c>
      <c r="F102" s="6" t="s">
        <v>66</v>
      </c>
      <c r="G102" s="6" t="s">
        <v>272</v>
      </c>
    </row>
    <row r="103" customFormat="false" ht="15" hidden="false" customHeight="false" outlineLevel="0" collapsed="false">
      <c r="A103" s="6" t="s">
        <v>273</v>
      </c>
      <c r="B103" s="25" t="n">
        <v>0.003</v>
      </c>
      <c r="C103" s="6" t="s">
        <v>274</v>
      </c>
      <c r="D103" s="25" t="n">
        <v>0.002</v>
      </c>
      <c r="E103" s="25" t="n">
        <v>0.005</v>
      </c>
      <c r="F103" s="6" t="s">
        <v>74</v>
      </c>
      <c r="G103" s="6"/>
    </row>
    <row r="104" customFormat="false" ht="15" hidden="false" customHeight="false" outlineLevel="0" collapsed="false">
      <c r="A104" s="6" t="s">
        <v>275</v>
      </c>
      <c r="B104" s="25" t="n">
        <v>0.0075</v>
      </c>
      <c r="C104" s="6" t="s">
        <v>276</v>
      </c>
      <c r="D104" s="25" t="n">
        <v>0.005</v>
      </c>
      <c r="E104" s="25" t="n">
        <v>0.01</v>
      </c>
      <c r="F104" s="6" t="s">
        <v>74</v>
      </c>
      <c r="G104" s="6"/>
    </row>
    <row r="105" customFormat="false" ht="15" hidden="false" customHeight="false" outlineLevel="0" collapsed="false">
      <c r="A105" s="6" t="s">
        <v>277</v>
      </c>
      <c r="B105" s="25" t="n">
        <v>0.03</v>
      </c>
      <c r="C105" s="6" t="s">
        <v>276</v>
      </c>
      <c r="D105" s="25" t="n">
        <v>0.01</v>
      </c>
      <c r="E105" s="25" t="n">
        <v>0.08</v>
      </c>
      <c r="F105" s="6" t="s">
        <v>74</v>
      </c>
      <c r="G105" s="6" t="s">
        <v>278</v>
      </c>
    </row>
    <row r="106" customFormat="false" ht="15" hidden="false" customHeight="false" outlineLevel="0" collapsed="false">
      <c r="A106" s="6" t="s">
        <v>279</v>
      </c>
      <c r="B106" s="30"/>
      <c r="C106" s="6" t="s">
        <v>280</v>
      </c>
      <c r="D106" s="27"/>
      <c r="E106" s="27"/>
      <c r="F106" s="6" t="s">
        <v>281</v>
      </c>
      <c r="G106" s="6" t="s">
        <v>282</v>
      </c>
    </row>
    <row r="107" customFormat="false" ht="15" hidden="false" customHeight="false" outlineLevel="0" collapsed="false">
      <c r="A107" s="3" t="s">
        <v>283</v>
      </c>
      <c r="B107" s="4"/>
      <c r="C107" s="4"/>
      <c r="D107" s="4"/>
      <c r="E107" s="4"/>
      <c r="F107" s="4"/>
      <c r="G107" s="4"/>
    </row>
    <row r="108" customFormat="false" ht="15" hidden="false" customHeight="false" outlineLevel="0" collapsed="false">
      <c r="A108" s="6" t="s">
        <v>284</v>
      </c>
      <c r="B108" s="18" t="n">
        <v>28</v>
      </c>
      <c r="C108" s="6" t="s">
        <v>124</v>
      </c>
      <c r="D108" s="18" t="n">
        <v>22</v>
      </c>
      <c r="E108" s="18" t="n">
        <v>34</v>
      </c>
      <c r="F108" s="6" t="s">
        <v>85</v>
      </c>
      <c r="G108" s="6" t="s">
        <v>285</v>
      </c>
    </row>
    <row r="109" customFormat="false" ht="15" hidden="false" customHeight="false" outlineLevel="0" collapsed="false">
      <c r="A109" s="6" t="s">
        <v>286</v>
      </c>
      <c r="B109" s="20" t="n">
        <v>9000</v>
      </c>
      <c r="C109" s="6" t="s">
        <v>287</v>
      </c>
      <c r="D109" s="20" t="n">
        <v>8000</v>
      </c>
      <c r="E109" s="20" t="n">
        <v>10000</v>
      </c>
      <c r="F109" s="6" t="s">
        <v>74</v>
      </c>
      <c r="G109" s="6"/>
    </row>
    <row r="110" customFormat="false" ht="15" hidden="false" customHeight="false" outlineLevel="0" collapsed="false">
      <c r="A110" s="6" t="s">
        <v>288</v>
      </c>
      <c r="B110" s="18" t="n">
        <v>16000</v>
      </c>
      <c r="C110" s="6" t="s">
        <v>289</v>
      </c>
      <c r="D110" s="22"/>
      <c r="E110" s="22"/>
      <c r="F110" s="6" t="s">
        <v>74</v>
      </c>
      <c r="G110" s="6" t="s">
        <v>290</v>
      </c>
    </row>
    <row r="111" customFormat="false" ht="15" hidden="false" customHeight="false" outlineLevel="0" collapsed="false">
      <c r="A111" s="6" t="s">
        <v>291</v>
      </c>
      <c r="B111" s="18" t="n">
        <v>35000</v>
      </c>
      <c r="C111" s="6" t="s">
        <v>289</v>
      </c>
      <c r="D111" s="22"/>
      <c r="E111" s="22"/>
      <c r="F111" s="6" t="s">
        <v>74</v>
      </c>
      <c r="G111" s="6" t="s">
        <v>290</v>
      </c>
    </row>
    <row r="112" customFormat="false" ht="15" hidden="false" customHeight="false" outlineLevel="0" collapsed="false">
      <c r="A112" s="6" t="s">
        <v>292</v>
      </c>
      <c r="B112" s="18" t="n">
        <v>80000</v>
      </c>
      <c r="C112" s="6" t="s">
        <v>289</v>
      </c>
      <c r="D112" s="22"/>
      <c r="E112" s="22"/>
      <c r="F112" s="6" t="s">
        <v>74</v>
      </c>
      <c r="G112" s="6" t="s">
        <v>290</v>
      </c>
    </row>
    <row r="113" customFormat="false" ht="15" hidden="false" customHeight="false" outlineLevel="0" collapsed="false">
      <c r="A113" s="6" t="s">
        <v>293</v>
      </c>
      <c r="B113" s="25" t="n">
        <v>0.3</v>
      </c>
      <c r="C113" s="6" t="s">
        <v>173</v>
      </c>
      <c r="D113" s="27"/>
      <c r="E113" s="27"/>
      <c r="F113" s="6" t="s">
        <v>74</v>
      </c>
      <c r="G113" s="6"/>
    </row>
    <row r="114" customFormat="false" ht="15" hidden="false" customHeight="false" outlineLevel="0" collapsed="false">
      <c r="A114" s="6" t="s">
        <v>294</v>
      </c>
      <c r="B114" s="25" t="n">
        <v>0.4</v>
      </c>
      <c r="C114" s="6" t="s">
        <v>173</v>
      </c>
      <c r="D114" s="27"/>
      <c r="E114" s="27"/>
      <c r="F114" s="6" t="s">
        <v>74</v>
      </c>
      <c r="G114" s="6"/>
    </row>
    <row r="115" customFormat="false" ht="15" hidden="false" customHeight="false" outlineLevel="0" collapsed="false">
      <c r="A115" s="6" t="s">
        <v>295</v>
      </c>
      <c r="B115" s="25" t="n">
        <v>0.3</v>
      </c>
      <c r="C115" s="6" t="s">
        <v>173</v>
      </c>
      <c r="D115" s="27"/>
      <c r="E115" s="27"/>
      <c r="F115" s="6" t="s">
        <v>74</v>
      </c>
      <c r="G115" s="6" t="s">
        <v>296</v>
      </c>
    </row>
    <row r="116" customFormat="false" ht="15" hidden="false" customHeight="false" outlineLevel="0" collapsed="false">
      <c r="A116" s="6" t="s">
        <v>297</v>
      </c>
      <c r="B116" s="25" t="n">
        <v>0.03</v>
      </c>
      <c r="C116" s="6" t="s">
        <v>276</v>
      </c>
      <c r="D116" s="25" t="n">
        <v>0.02</v>
      </c>
      <c r="E116" s="25" t="n">
        <v>0.06</v>
      </c>
      <c r="F116" s="6" t="s">
        <v>74</v>
      </c>
      <c r="G116" s="6"/>
    </row>
    <row r="117" customFormat="false" ht="15" hidden="false" customHeight="false" outlineLevel="0" collapsed="false">
      <c r="A117" s="6" t="s">
        <v>298</v>
      </c>
      <c r="B117" s="20" t="n">
        <v>45</v>
      </c>
      <c r="C117" s="6" t="s">
        <v>97</v>
      </c>
      <c r="D117" s="20" t="n">
        <v>30</v>
      </c>
      <c r="E117" s="20" t="n">
        <v>60</v>
      </c>
      <c r="F117" s="6" t="s">
        <v>74</v>
      </c>
      <c r="G117" s="6"/>
    </row>
    <row r="118" customFormat="false" ht="15" hidden="false" customHeight="false" outlineLevel="0" collapsed="false">
      <c r="A118" s="3" t="s">
        <v>299</v>
      </c>
      <c r="B118" s="4"/>
      <c r="C118" s="4"/>
      <c r="D118" s="4"/>
      <c r="E118" s="4"/>
      <c r="F118" s="4"/>
      <c r="G118" s="4"/>
    </row>
    <row r="119" customFormat="false" ht="15" hidden="false" customHeight="false" outlineLevel="0" collapsed="false">
      <c r="A119" s="6" t="s">
        <v>300</v>
      </c>
      <c r="B119" s="25" t="n">
        <v>0.35</v>
      </c>
      <c r="C119" s="6" t="s">
        <v>301</v>
      </c>
      <c r="D119" s="25" t="n">
        <v>0.35</v>
      </c>
      <c r="E119" s="25" t="n">
        <v>0.5</v>
      </c>
      <c r="F119" s="6" t="s">
        <v>66</v>
      </c>
      <c r="G119" s="6" t="s">
        <v>302</v>
      </c>
    </row>
    <row r="120" customFormat="false" ht="15" hidden="false" customHeight="false" outlineLevel="0" collapsed="false">
      <c r="A120" s="6" t="s">
        <v>303</v>
      </c>
      <c r="B120" s="25" t="n">
        <v>0.25</v>
      </c>
      <c r="C120" s="6" t="s">
        <v>173</v>
      </c>
      <c r="D120" s="25" t="n">
        <v>0.2</v>
      </c>
      <c r="E120" s="25" t="n">
        <v>0.4</v>
      </c>
      <c r="F120" s="6" t="s">
        <v>74</v>
      </c>
      <c r="G120" s="6"/>
    </row>
    <row r="121" customFormat="false" ht="15" hidden="false" customHeight="false" outlineLevel="0" collapsed="false">
      <c r="A121" s="6" t="s">
        <v>304</v>
      </c>
      <c r="B121" s="25" t="n">
        <v>0.105</v>
      </c>
      <c r="C121" s="6" t="s">
        <v>305</v>
      </c>
      <c r="D121" s="25" t="n">
        <v>0.095</v>
      </c>
      <c r="E121" s="25" t="n">
        <v>0.12</v>
      </c>
      <c r="F121" s="6" t="s">
        <v>66</v>
      </c>
      <c r="G121" s="6" t="s">
        <v>306</v>
      </c>
    </row>
    <row r="122" customFormat="false" ht="15" hidden="false" customHeight="false" outlineLevel="0" collapsed="false">
      <c r="A122" s="6" t="s">
        <v>307</v>
      </c>
      <c r="B122" s="25" t="n">
        <v>0.03</v>
      </c>
      <c r="C122" s="6" t="s">
        <v>305</v>
      </c>
      <c r="D122" s="27"/>
      <c r="E122" s="27"/>
      <c r="F122" s="6" t="s">
        <v>66</v>
      </c>
      <c r="G122" s="6" t="s">
        <v>308</v>
      </c>
    </row>
    <row r="123" customFormat="false" ht="15" hidden="false" customHeight="false" outlineLevel="0" collapsed="false">
      <c r="A123" s="6" t="s">
        <v>309</v>
      </c>
      <c r="B123" s="18" t="n">
        <v>20000000</v>
      </c>
      <c r="C123" s="6" t="s">
        <v>310</v>
      </c>
      <c r="D123" s="22"/>
      <c r="E123" s="22"/>
      <c r="F123" s="6" t="s">
        <v>66</v>
      </c>
      <c r="G123" s="6" t="s">
        <v>308</v>
      </c>
    </row>
    <row r="124" customFormat="false" ht="15" hidden="false" customHeight="false" outlineLevel="0" collapsed="false">
      <c r="A124" s="6" t="s">
        <v>311</v>
      </c>
      <c r="B124" s="20" t="n">
        <v>7</v>
      </c>
      <c r="C124" s="6" t="s">
        <v>312</v>
      </c>
      <c r="D124" s="20" t="n">
        <v>5</v>
      </c>
      <c r="E124" s="20" t="n">
        <v>9</v>
      </c>
      <c r="F124" s="6" t="s">
        <v>71</v>
      </c>
      <c r="G124" s="6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15" hidden="false" customHeight="false" outlineLevel="0" collapsed="false">
      <c r="A4" s="17" t="s">
        <v>316</v>
      </c>
      <c r="B4" s="17" t="s">
        <v>317</v>
      </c>
      <c r="C4" s="17" t="s">
        <v>318</v>
      </c>
      <c r="D4" s="17" t="s">
        <v>319</v>
      </c>
      <c r="E4" s="17" t="s">
        <v>320</v>
      </c>
      <c r="F4" s="17" t="s">
        <v>321</v>
      </c>
    </row>
    <row r="5" customFormat="false" ht="15" hidden="false" customHeight="false" outlineLevel="0" collapsed="false">
      <c r="A5" s="3" t="s">
        <v>322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6" t="s">
        <v>323</v>
      </c>
      <c r="B6" s="7" t="n">
        <f aca="false">Inputs!$B$25</f>
        <v>11</v>
      </c>
      <c r="C6" s="7" t="n">
        <f aca="false">Inputs!$B$26</f>
        <v>8</v>
      </c>
      <c r="D6" s="31" t="n">
        <f aca="false">B6+C6</f>
        <v>19</v>
      </c>
      <c r="E6" s="6" t="s">
        <v>324</v>
      </c>
      <c r="F6" s="6" t="s">
        <v>325</v>
      </c>
    </row>
    <row r="7" customFormat="false" ht="15" hidden="false" customHeight="false" outlineLevel="0" collapsed="false">
      <c r="A7" s="6" t="s">
        <v>326</v>
      </c>
      <c r="B7" s="7" t="n">
        <f aca="false">Inputs!$B$22*Inputs!$B$23*(1-Inputs!$B$32)</f>
        <v>30000</v>
      </c>
      <c r="C7" s="7" t="n">
        <f aca="false">Inputs!$B$22*Inputs!$B$24*(1-Inputs!$B$32)</f>
        <v>30000</v>
      </c>
      <c r="D7" s="31" t="n">
        <f aca="false">B7+C7</f>
        <v>60000</v>
      </c>
      <c r="E7" s="6" t="s">
        <v>327</v>
      </c>
      <c r="F7" s="6" t="s">
        <v>328</v>
      </c>
    </row>
    <row r="8" customFormat="false" ht="23.85" hidden="false" customHeight="false" outlineLevel="0" collapsed="false">
      <c r="A8" s="6" t="s">
        <v>329</v>
      </c>
      <c r="B8" s="9" t="n">
        <f aca="false">Inputs!$B$22*Inputs!$B$27</f>
        <v>150000</v>
      </c>
      <c r="C8" s="9" t="n">
        <f aca="false">Inputs!$B$22*Inputs!$B$28</f>
        <v>60000</v>
      </c>
      <c r="D8" s="32" t="n">
        <f aca="false">B8+C8</f>
        <v>210000</v>
      </c>
      <c r="E8" s="6" t="s">
        <v>330</v>
      </c>
      <c r="F8" s="6" t="s">
        <v>331</v>
      </c>
    </row>
    <row r="9" customFormat="false" ht="15" hidden="false" customHeight="false" outlineLevel="0" collapsed="false">
      <c r="A9" s="6" t="s">
        <v>332</v>
      </c>
      <c r="B9" s="9" t="n">
        <f aca="false">B7*Inputs!$B$30</f>
        <v>450000</v>
      </c>
      <c r="C9" s="9" t="n">
        <f aca="false">C7*Inputs!$B$31</f>
        <v>360000</v>
      </c>
      <c r="D9" s="32" t="n">
        <f aca="false">B9+C9</f>
        <v>810000</v>
      </c>
      <c r="E9" s="6" t="s">
        <v>333</v>
      </c>
    </row>
    <row r="10" customFormat="false" ht="23.85" hidden="false" customHeight="false" outlineLevel="0" collapsed="false">
      <c r="A10" s="6" t="s">
        <v>334</v>
      </c>
      <c r="B10" s="9" t="n">
        <f aca="false">Inputs!$B$22*10</f>
        <v>12000</v>
      </c>
      <c r="C10" s="9" t="n">
        <f aca="false">Inputs!$B$22*10</f>
        <v>12000</v>
      </c>
      <c r="E10" s="6" t="s">
        <v>335</v>
      </c>
    </row>
    <row r="12" customFormat="false" ht="15" hidden="false" customHeight="false" outlineLevel="0" collapsed="false">
      <c r="A12" s="3" t="s">
        <v>336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5" t="s">
        <v>316</v>
      </c>
      <c r="B13" s="5" t="s">
        <v>337</v>
      </c>
      <c r="C13" s="5" t="s">
        <v>338</v>
      </c>
      <c r="D13" s="5" t="s">
        <v>339</v>
      </c>
      <c r="E13" s="5" t="s">
        <v>320</v>
      </c>
      <c r="F13" s="5" t="s">
        <v>340</v>
      </c>
    </row>
    <row r="14" customFormat="false" ht="23.85" hidden="false" customHeight="false" outlineLevel="0" collapsed="false">
      <c r="A14" s="6" t="s">
        <v>341</v>
      </c>
      <c r="B14" s="19" t="n">
        <v>0</v>
      </c>
      <c r="E14" s="6" t="s">
        <v>342</v>
      </c>
    </row>
    <row r="15" customFormat="false" ht="15" hidden="false" customHeight="false" outlineLevel="0" collapsed="false">
      <c r="A15" s="6" t="s">
        <v>343</v>
      </c>
      <c r="B15" s="7" t="n">
        <f aca="false">Inputs!$B$21</f>
        <v>150</v>
      </c>
      <c r="C15" s="9" t="n">
        <f aca="false">Inputs!$B$29</f>
        <v>50000</v>
      </c>
      <c r="D15" s="32" t="n">
        <f aca="false">B15*C15</f>
        <v>7500000</v>
      </c>
      <c r="E15" s="6" t="s">
        <v>344</v>
      </c>
      <c r="F15" s="6" t="s">
        <v>345</v>
      </c>
    </row>
    <row r="16" customFormat="false" ht="15" hidden="false" customHeight="false" outlineLevel="0" collapsed="false">
      <c r="A16" s="6" t="s">
        <v>346</v>
      </c>
      <c r="B16" s="20" t="n">
        <v>50</v>
      </c>
      <c r="C16" s="18" t="n">
        <v>400</v>
      </c>
      <c r="D16" s="32" t="n">
        <f aca="false">IF($B$14=1,0,B16*C16*312)</f>
        <v>6240000</v>
      </c>
      <c r="E16" s="6" t="s">
        <v>347</v>
      </c>
      <c r="F16" s="6" t="s">
        <v>348</v>
      </c>
    </row>
    <row r="17" customFormat="false" ht="15" hidden="false" customHeight="false" outlineLevel="0" collapsed="false">
      <c r="A17" s="6" t="s">
        <v>349</v>
      </c>
      <c r="B17" s="20" t="n">
        <v>1</v>
      </c>
      <c r="C17" s="18" t="n">
        <v>60000</v>
      </c>
      <c r="D17" s="32" t="n">
        <f aca="false">B17*C17*12</f>
        <v>720000</v>
      </c>
      <c r="E17" s="6" t="s">
        <v>350</v>
      </c>
      <c r="F17" s="6"/>
    </row>
    <row r="18" customFormat="false" ht="15" hidden="false" customHeight="false" outlineLevel="0" collapsed="false">
      <c r="A18" s="6" t="s">
        <v>351</v>
      </c>
      <c r="B18" s="20" t="n">
        <v>2</v>
      </c>
      <c r="C18" s="18" t="n">
        <v>25000</v>
      </c>
      <c r="D18" s="32" t="n">
        <f aca="false">B18*C18*12</f>
        <v>600000</v>
      </c>
      <c r="E18" s="6" t="s">
        <v>350</v>
      </c>
      <c r="F18" s="6"/>
    </row>
    <row r="19" customFormat="false" ht="15" hidden="false" customHeight="false" outlineLevel="0" collapsed="false">
      <c r="A19" s="6" t="s">
        <v>352</v>
      </c>
      <c r="B19" s="20" t="n">
        <v>1</v>
      </c>
      <c r="C19" s="18" t="n">
        <v>25000</v>
      </c>
      <c r="D19" s="32" t="n">
        <f aca="false">B19*C19*12</f>
        <v>300000</v>
      </c>
      <c r="E19" s="6" t="s">
        <v>350</v>
      </c>
      <c r="F19" s="6"/>
    </row>
    <row r="20" customFormat="false" ht="15" hidden="false" customHeight="false" outlineLevel="0" collapsed="false">
      <c r="A20" s="6" t="s">
        <v>353</v>
      </c>
      <c r="B20" s="20" t="n">
        <v>1</v>
      </c>
      <c r="C20" s="18" t="n">
        <v>25000</v>
      </c>
      <c r="D20" s="32" t="n">
        <f aca="false">B20*C20*12</f>
        <v>300000</v>
      </c>
      <c r="E20" s="6" t="s">
        <v>350</v>
      </c>
      <c r="F20" s="6"/>
    </row>
    <row r="21" customFormat="false" ht="15" hidden="false" customHeight="false" outlineLevel="0" collapsed="false">
      <c r="A21" s="6" t="s">
        <v>354</v>
      </c>
      <c r="B21" s="20" t="n">
        <v>1</v>
      </c>
      <c r="C21" s="18" t="n">
        <v>18000</v>
      </c>
      <c r="D21" s="32" t="n">
        <f aca="false">B21*C21*12</f>
        <v>216000</v>
      </c>
      <c r="E21" s="6" t="s">
        <v>350</v>
      </c>
      <c r="F21" s="6"/>
    </row>
    <row r="22" customFormat="false" ht="15" hidden="false" customHeight="false" outlineLevel="0" collapsed="false">
      <c r="A22" s="6" t="s">
        <v>355</v>
      </c>
      <c r="B22" s="20" t="n">
        <v>9</v>
      </c>
      <c r="C22" s="18" t="n">
        <v>30000</v>
      </c>
      <c r="D22" s="32" t="n">
        <f aca="false">B22*C22</f>
        <v>270000</v>
      </c>
      <c r="E22" s="6" t="s">
        <v>356</v>
      </c>
      <c r="F22" s="6"/>
    </row>
    <row r="23" customFormat="false" ht="15" hidden="false" customHeight="false" outlineLevel="0" collapsed="false">
      <c r="A23" s="6" t="s">
        <v>357</v>
      </c>
      <c r="B23" s="20" t="n">
        <v>1</v>
      </c>
      <c r="C23" s="18" t="n">
        <v>1200000</v>
      </c>
      <c r="D23" s="32" t="n">
        <f aca="false">B23*C23</f>
        <v>1200000</v>
      </c>
      <c r="E23" s="6" t="s">
        <v>358</v>
      </c>
      <c r="F23" s="6"/>
    </row>
    <row r="24" customFormat="false" ht="15" hidden="false" customHeight="false" outlineLevel="0" collapsed="false">
      <c r="A24" s="6" t="s">
        <v>359</v>
      </c>
      <c r="B24" s="20" t="n">
        <v>12</v>
      </c>
      <c r="C24" s="18" t="n">
        <v>29000</v>
      </c>
      <c r="D24" s="32" t="n">
        <f aca="false">B24*C24</f>
        <v>348000</v>
      </c>
      <c r="E24" s="6" t="s">
        <v>350</v>
      </c>
      <c r="F24" s="6"/>
    </row>
    <row r="25" customFormat="false" ht="15" hidden="false" customHeight="false" outlineLevel="0" collapsed="false">
      <c r="A25" s="6" t="s">
        <v>360</v>
      </c>
      <c r="B25" s="20" t="n">
        <v>1</v>
      </c>
      <c r="C25" s="18" t="n">
        <v>300000</v>
      </c>
      <c r="D25" s="32" t="n">
        <f aca="false">B25*C25</f>
        <v>300000</v>
      </c>
      <c r="E25" s="6" t="s">
        <v>358</v>
      </c>
      <c r="F25" s="6"/>
    </row>
    <row r="26" customFormat="false" ht="15" hidden="false" customHeight="false" outlineLevel="0" collapsed="false">
      <c r="A26" s="6" t="s">
        <v>361</v>
      </c>
      <c r="B26" s="20" t="n">
        <v>1</v>
      </c>
      <c r="C26" s="18" t="n">
        <v>400000</v>
      </c>
      <c r="D26" s="32" t="n">
        <f aca="false">B26*C26</f>
        <v>400000</v>
      </c>
      <c r="E26" s="6" t="s">
        <v>358</v>
      </c>
      <c r="F26" s="6"/>
    </row>
    <row r="27" customFormat="false" ht="15" hidden="false" customHeight="false" outlineLevel="0" collapsed="false">
      <c r="A27" s="6" t="s">
        <v>362</v>
      </c>
      <c r="B27" s="7" t="n">
        <f aca="false">Inputs!$B$21</f>
        <v>150</v>
      </c>
      <c r="C27" s="18" t="n">
        <v>7500</v>
      </c>
      <c r="D27" s="32" t="n">
        <f aca="false">B27*C27</f>
        <v>1125000</v>
      </c>
      <c r="E27" s="6" t="s">
        <v>121</v>
      </c>
      <c r="F27" s="6" t="s">
        <v>363</v>
      </c>
    </row>
    <row r="28" customFormat="false" ht="15" hidden="false" customHeight="false" outlineLevel="0" collapsed="false">
      <c r="A28" s="12" t="s">
        <v>364</v>
      </c>
      <c r="D28" s="33" t="n">
        <f aca="false">SUM(D15:D27)</f>
        <v>19519000</v>
      </c>
      <c r="E28" s="6" t="s">
        <v>365</v>
      </c>
    </row>
    <row r="30" customFormat="false" ht="15" hidden="false" customHeight="false" outlineLevel="0" collapsed="false">
      <c r="A30" s="3" t="s">
        <v>366</v>
      </c>
      <c r="B30" s="4"/>
      <c r="C30" s="4"/>
      <c r="D30" s="4"/>
      <c r="E30" s="4"/>
      <c r="F30" s="4"/>
    </row>
    <row r="31" customFormat="false" ht="15" hidden="false" customHeight="false" outlineLevel="0" collapsed="false">
      <c r="A31" s="5" t="s">
        <v>367</v>
      </c>
      <c r="B31" s="5" t="s">
        <v>368</v>
      </c>
      <c r="C31" s="5" t="s">
        <v>369</v>
      </c>
      <c r="D31" s="5" t="s">
        <v>370</v>
      </c>
      <c r="E31" s="5" t="s">
        <v>340</v>
      </c>
      <c r="F31" s="5"/>
    </row>
    <row r="32" customFormat="false" ht="15" hidden="false" customHeight="false" outlineLevel="0" collapsed="false">
      <c r="A32" s="6" t="s">
        <v>371</v>
      </c>
      <c r="B32" s="18" t="n">
        <v>4800000</v>
      </c>
      <c r="C32" s="20" t="n">
        <v>8</v>
      </c>
      <c r="D32" s="32" t="n">
        <f aca="false">B32/C32</f>
        <v>600000</v>
      </c>
      <c r="E32" s="6"/>
    </row>
    <row r="33" customFormat="false" ht="15" hidden="false" customHeight="false" outlineLevel="0" collapsed="false">
      <c r="A33" s="6" t="s">
        <v>372</v>
      </c>
      <c r="B33" s="18" t="n">
        <v>8000000</v>
      </c>
      <c r="C33" s="20" t="n">
        <v>7</v>
      </c>
      <c r="D33" s="32" t="n">
        <f aca="false">B33/C33</f>
        <v>1142857.14285714</v>
      </c>
      <c r="E33" s="6" t="s">
        <v>373</v>
      </c>
    </row>
    <row r="34" customFormat="false" ht="15" hidden="false" customHeight="false" outlineLevel="0" collapsed="false">
      <c r="A34" s="6" t="s">
        <v>374</v>
      </c>
      <c r="B34" s="18" t="n">
        <v>700000</v>
      </c>
      <c r="C34" s="20" t="n">
        <v>10</v>
      </c>
      <c r="D34" s="32" t="n">
        <f aca="false">B34/C34</f>
        <v>70000</v>
      </c>
      <c r="E34" s="6"/>
    </row>
    <row r="35" customFormat="false" ht="15" hidden="false" customHeight="false" outlineLevel="0" collapsed="false">
      <c r="A35" s="6" t="s">
        <v>375</v>
      </c>
      <c r="B35" s="18" t="n">
        <v>300000</v>
      </c>
      <c r="C35" s="20" t="n">
        <v>3</v>
      </c>
      <c r="D35" s="32" t="n">
        <f aca="false">B35/C35</f>
        <v>100000</v>
      </c>
      <c r="E35" s="6"/>
    </row>
    <row r="36" customFormat="false" ht="15" hidden="false" customHeight="false" outlineLevel="0" collapsed="false">
      <c r="A36" s="12" t="s">
        <v>376</v>
      </c>
      <c r="B36" s="34" t="n">
        <f aca="false">SUM(B32:B35)</f>
        <v>13800000</v>
      </c>
      <c r="D36" s="33" t="n">
        <f aca="false">SUM(D32:D35)</f>
        <v>1912857.14285714</v>
      </c>
    </row>
    <row r="38" customFormat="false" ht="15" hidden="false" customHeight="false" outlineLevel="0" collapsed="false">
      <c r="A38" s="3" t="s">
        <v>377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6" t="s">
        <v>378</v>
      </c>
      <c r="D39" s="7" t="n">
        <f aca="false">(Inputs!$B$21-Inputs!$B$33)</f>
        <v>150</v>
      </c>
    </row>
    <row r="40" customFormat="false" ht="15" hidden="false" customHeight="false" outlineLevel="0" collapsed="false">
      <c r="A40" s="6" t="s">
        <v>379</v>
      </c>
      <c r="D40" s="35" t="n">
        <f aca="false">(Inputs!$B$21-Inputs!$B$33)*D7/D6*12/1000</f>
        <v>5684.21052631579</v>
      </c>
    </row>
    <row r="41" customFormat="false" ht="15" hidden="false" customHeight="false" outlineLevel="0" collapsed="false">
      <c r="A41" s="6" t="s">
        <v>380</v>
      </c>
      <c r="D41" s="9" t="n">
        <f aca="false">(Inputs!$B$21-Inputs!$B$33)*D8/D6*12</f>
        <v>19894736.8421053</v>
      </c>
    </row>
    <row r="42" customFormat="false" ht="15" hidden="false" customHeight="false" outlineLevel="0" collapsed="false">
      <c r="A42" s="6" t="s">
        <v>381</v>
      </c>
      <c r="D42" s="32" t="n">
        <f aca="false">D28</f>
        <v>19519000</v>
      </c>
    </row>
    <row r="43" customFormat="false" ht="15" hidden="false" customHeight="false" outlineLevel="0" collapsed="false">
      <c r="A43" s="12" t="s">
        <v>382</v>
      </c>
      <c r="D43" s="33" t="n">
        <f aca="false">D41+D28</f>
        <v>39413736.8421053</v>
      </c>
    </row>
    <row r="44" customFormat="false" ht="15" hidden="false" customHeight="false" outlineLevel="0" collapsed="false">
      <c r="A44" s="6" t="s">
        <v>383</v>
      </c>
      <c r="D44" s="9" t="n">
        <f aca="false">'Farm Plan'!$D$36</f>
        <v>1912857.14285714</v>
      </c>
    </row>
    <row r="45" customFormat="false" ht="15" hidden="false" customHeight="false" outlineLevel="0" collapsed="false">
      <c r="A45" s="12" t="s">
        <v>384</v>
      </c>
      <c r="D45" s="36" t="n">
        <f aca="false">IF(D40=0,0,(D43+'Farm Plan'!$D$36)/(D40*1000))</f>
        <v>7.27041931216931</v>
      </c>
      <c r="E45" s="6" t="s">
        <v>385</v>
      </c>
    </row>
    <row r="46" customFormat="false" ht="15" hidden="false" customHeight="false" outlineLevel="0" collapsed="false">
      <c r="A46" s="6" t="s">
        <v>386</v>
      </c>
      <c r="D46" s="9" t="n">
        <f aca="false">(Inputs!$B$21-Inputs!$B$33)*D9/D6*12</f>
        <v>76736842.1052632</v>
      </c>
    </row>
    <row r="47" customFormat="false" ht="15" hidden="false" customHeight="false" outlineLevel="0" collapsed="false">
      <c r="A47" s="6" t="s">
        <v>387</v>
      </c>
      <c r="D47" s="37" t="n">
        <f aca="false">IF(D40=0,0,D46/(D40*1000))</f>
        <v>13.5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4" customFormat="false" ht="23.85" hidden="false" customHeight="false" outlineLevel="0" collapsed="false">
      <c r="A4" s="17" t="s">
        <v>316</v>
      </c>
      <c r="B4" s="17" t="s">
        <v>390</v>
      </c>
      <c r="C4" s="17" t="s">
        <v>391</v>
      </c>
      <c r="D4" s="17" t="s">
        <v>392</v>
      </c>
      <c r="E4" s="17" t="s">
        <v>58</v>
      </c>
      <c r="F4" s="17" t="s">
        <v>393</v>
      </c>
    </row>
    <row r="5" customFormat="false" ht="15" hidden="false" customHeight="false" outlineLevel="0" collapsed="false">
      <c r="A5" s="6" t="s">
        <v>394</v>
      </c>
      <c r="B5" s="20" t="n">
        <v>20</v>
      </c>
      <c r="C5" s="20" t="n">
        <v>3</v>
      </c>
      <c r="D5" s="20" t="n">
        <v>2</v>
      </c>
      <c r="E5" s="6" t="s">
        <v>113</v>
      </c>
      <c r="F5" s="6" t="s">
        <v>395</v>
      </c>
    </row>
    <row r="6" customFormat="false" ht="15" hidden="false" customHeight="false" outlineLevel="0" collapsed="false">
      <c r="A6" s="6" t="s">
        <v>396</v>
      </c>
      <c r="B6" s="18" t="n">
        <v>80000</v>
      </c>
      <c r="C6" s="18" t="n">
        <v>82844</v>
      </c>
      <c r="D6" s="32" t="n">
        <f aca="false">D7+D8</f>
        <v>5280</v>
      </c>
      <c r="E6" s="6" t="s">
        <v>397</v>
      </c>
      <c r="F6" s="6" t="s">
        <v>398</v>
      </c>
    </row>
    <row r="7" customFormat="false" ht="15" hidden="false" customHeight="false" outlineLevel="0" collapsed="false">
      <c r="A7" s="6" t="s">
        <v>399</v>
      </c>
      <c r="B7" s="22"/>
      <c r="C7" s="22"/>
      <c r="D7" s="32" t="n">
        <f aca="false">20*114</f>
        <v>2280</v>
      </c>
      <c r="E7" s="6" t="s">
        <v>397</v>
      </c>
      <c r="F7" s="6" t="s">
        <v>400</v>
      </c>
    </row>
    <row r="8" customFormat="false" ht="15" hidden="false" customHeight="false" outlineLevel="0" collapsed="false">
      <c r="A8" s="6" t="s">
        <v>401</v>
      </c>
      <c r="B8" s="22"/>
      <c r="C8" s="22"/>
      <c r="D8" s="18" t="n">
        <v>3000</v>
      </c>
      <c r="E8" s="6" t="s">
        <v>397</v>
      </c>
      <c r="F8" s="6" t="s">
        <v>402</v>
      </c>
    </row>
    <row r="9" customFormat="false" ht="15" hidden="false" customHeight="false" outlineLevel="0" collapsed="false">
      <c r="A9" s="6" t="s">
        <v>403</v>
      </c>
      <c r="B9" s="38" t="n">
        <v>40</v>
      </c>
      <c r="C9" s="38" t="n">
        <v>10</v>
      </c>
      <c r="D9" s="38" t="n">
        <v>0</v>
      </c>
      <c r="E9" s="6" t="s">
        <v>404</v>
      </c>
      <c r="F9" s="6" t="s">
        <v>405</v>
      </c>
    </row>
    <row r="10" customFormat="false" ht="15" hidden="false" customHeight="false" outlineLevel="0" collapsed="false">
      <c r="A10" s="6" t="s">
        <v>406</v>
      </c>
      <c r="B10" s="23" t="n">
        <v>12</v>
      </c>
      <c r="C10" s="23" t="n">
        <v>7</v>
      </c>
      <c r="D10" s="23" t="n">
        <v>0</v>
      </c>
      <c r="E10" s="6" t="s">
        <v>124</v>
      </c>
      <c r="F10" s="6" t="s">
        <v>407</v>
      </c>
    </row>
    <row r="11" customFormat="false" ht="15" hidden="false" customHeight="false" outlineLevel="0" collapsed="false">
      <c r="A11" s="6" t="s">
        <v>408</v>
      </c>
      <c r="B11" s="23" t="n">
        <v>1</v>
      </c>
      <c r="C11" s="23" t="n">
        <v>0.8</v>
      </c>
      <c r="D11" s="23" t="n">
        <v>0</v>
      </c>
      <c r="E11" s="6" t="s">
        <v>124</v>
      </c>
      <c r="F11" s="6" t="s">
        <v>409</v>
      </c>
    </row>
    <row r="12" customFormat="false" ht="15" hidden="false" customHeight="false" outlineLevel="0" collapsed="false">
      <c r="A12" s="6" t="s">
        <v>410</v>
      </c>
      <c r="B12" s="32" t="n">
        <f aca="false">B9*1000*B10</f>
        <v>480000</v>
      </c>
      <c r="C12" s="32" t="n">
        <f aca="false">C9*1000*C10</f>
        <v>70000</v>
      </c>
      <c r="D12" s="32" t="n">
        <f aca="false">D9*1000*D10</f>
        <v>0</v>
      </c>
    </row>
    <row r="13" customFormat="false" ht="15" hidden="false" customHeight="false" outlineLevel="0" collapsed="false">
      <c r="A13" s="6" t="s">
        <v>411</v>
      </c>
      <c r="B13" s="32" t="n">
        <f aca="false">B9*1000*B11</f>
        <v>40000</v>
      </c>
      <c r="C13" s="32" t="n">
        <f aca="false">C9*1000*C11</f>
        <v>8000</v>
      </c>
      <c r="D13" s="32" t="n">
        <f aca="false">D9*1000*D11</f>
        <v>0</v>
      </c>
    </row>
    <row r="14" customFormat="false" ht="15" hidden="false" customHeight="false" outlineLevel="0" collapsed="false">
      <c r="A14" s="12" t="s">
        <v>412</v>
      </c>
      <c r="B14" s="34" t="n">
        <f aca="false">B12-B6-B13</f>
        <v>360000</v>
      </c>
      <c r="C14" s="34" t="n">
        <f aca="false">C12-C6-C13</f>
        <v>-20844</v>
      </c>
      <c r="D14" s="34" t="n">
        <f aca="false">D12-D6-D13</f>
        <v>-5280</v>
      </c>
    </row>
    <row r="15" customFormat="false" ht="15" hidden="false" customHeight="false" outlineLevel="0" collapsed="false">
      <c r="A15" s="12" t="s">
        <v>413</v>
      </c>
      <c r="B15" s="33" t="n">
        <f aca="false">B14/B5</f>
        <v>18000</v>
      </c>
      <c r="C15" s="33" t="n">
        <f aca="false">C14/C5</f>
        <v>-6948</v>
      </c>
      <c r="D15" s="33" t="n">
        <f aca="false">D14/D5</f>
        <v>-2640</v>
      </c>
    </row>
    <row r="16" customFormat="false" ht="23.85" hidden="false" customHeight="false" outlineLevel="0" collapsed="false">
      <c r="A16" s="12" t="s">
        <v>414</v>
      </c>
      <c r="B16" s="14" t="n">
        <f aca="false">('Farm Plan'!$D$9-'Farm Plan'!$D$8)/'Farm Plan'!$D$6</f>
        <v>31578.9473684211</v>
      </c>
      <c r="F16" s="6" t="s">
        <v>415</v>
      </c>
    </row>
    <row r="18" customFormat="false" ht="15" hidden="false" customHeight="false" outlineLevel="0" collapsed="false">
      <c r="A18" s="3" t="s">
        <v>416</v>
      </c>
      <c r="B18" s="4"/>
      <c r="C18" s="4"/>
      <c r="D18" s="4"/>
      <c r="E18" s="4"/>
      <c r="F18" s="4"/>
    </row>
    <row r="19" customFormat="false" ht="45" hidden="false" customHeight="true" outlineLevel="0" collapsed="false">
      <c r="A19" s="12" t="s">
        <v>417</v>
      </c>
      <c r="B19" s="6" t="s">
        <v>418</v>
      </c>
      <c r="C19" s="6" t="s">
        <v>419</v>
      </c>
      <c r="D19" s="6" t="s">
        <v>420</v>
      </c>
    </row>
    <row r="20" customFormat="false" ht="45" hidden="false" customHeight="true" outlineLevel="0" collapsed="false">
      <c r="A20" s="12" t="s">
        <v>421</v>
      </c>
      <c r="B20" s="6" t="s">
        <v>422</v>
      </c>
      <c r="C20" s="6" t="s">
        <v>423</v>
      </c>
      <c r="D20" s="6" t="s">
        <v>424</v>
      </c>
    </row>
    <row r="21" customFormat="false" ht="45" hidden="false" customHeight="true" outlineLevel="0" collapsed="false">
      <c r="A21" s="12" t="s">
        <v>425</v>
      </c>
      <c r="B21" s="6" t="s">
        <v>426</v>
      </c>
      <c r="C21" s="6" t="s">
        <v>427</v>
      </c>
      <c r="D21" s="6" t="s">
        <v>428</v>
      </c>
    </row>
    <row r="22" customFormat="false" ht="45" hidden="false" customHeight="true" outlineLevel="0" collapsed="false">
      <c r="A22" s="12" t="s">
        <v>429</v>
      </c>
      <c r="B22" s="6" t="s">
        <v>430</v>
      </c>
      <c r="C22" s="6" t="s">
        <v>431</v>
      </c>
      <c r="D22" s="6" t="s">
        <v>432</v>
      </c>
    </row>
    <row r="24" customFormat="false" ht="15" hidden="false" customHeight="false" outlineLevel="0" collapsed="false">
      <c r="A24" s="3" t="s">
        <v>433</v>
      </c>
      <c r="B24" s="4"/>
      <c r="C24" s="4"/>
      <c r="D24" s="4"/>
      <c r="E24" s="4"/>
      <c r="F24" s="4"/>
    </row>
    <row r="25" customFormat="false" ht="15" hidden="false" customHeight="false" outlineLevel="0" collapsed="false">
      <c r="A25" s="6" t="s">
        <v>434</v>
      </c>
      <c r="B25" s="39" t="str">
        <f aca="false">INDEX(B4:D4,1,Inputs!$B$34)</f>
        <v>1. Papaya (Red Lady 786)</v>
      </c>
    </row>
    <row r="26" customFormat="false" ht="15" hidden="false" customHeight="false" outlineLevel="0" collapsed="false">
      <c r="A26" s="6" t="s">
        <v>435</v>
      </c>
      <c r="B26" s="7" t="n">
        <f aca="false">Inputs!$B$33</f>
        <v>0</v>
      </c>
    </row>
    <row r="27" customFormat="false" ht="15" hidden="false" customHeight="false" outlineLevel="0" collapsed="false">
      <c r="A27" s="6" t="s">
        <v>436</v>
      </c>
      <c r="B27" s="9" t="n">
        <f aca="false">B26*INDEX(B12:D12,1,Inputs!$B$34)/INDEX(B5:D5,1,Inputs!$B$34)*12</f>
        <v>0</v>
      </c>
    </row>
    <row r="28" customFormat="false" ht="15" hidden="false" customHeight="false" outlineLevel="0" collapsed="false">
      <c r="A28" s="6" t="s">
        <v>437</v>
      </c>
      <c r="B28" s="9" t="n">
        <f aca="false">B26*(INDEX(B6:D6,1,Inputs!$B$34)+INDEX(B13:D13,1,Inputs!$B$34))/INDEX(B5:D5,1,Inputs!$B$34)*12</f>
        <v>0</v>
      </c>
    </row>
    <row r="29" customFormat="false" ht="15" hidden="false" customHeight="false" outlineLevel="0" collapsed="false">
      <c r="A29" s="12" t="s">
        <v>438</v>
      </c>
    </row>
    <row r="30" customFormat="false" ht="45" hidden="false" customHeight="true" outlineLevel="0" collapsed="false">
      <c r="A30" s="6" t="s">
        <v>439</v>
      </c>
      <c r="B30" s="6"/>
      <c r="C30" s="6"/>
      <c r="D30" s="6"/>
      <c r="E30" s="6"/>
      <c r="F30" s="6"/>
    </row>
  </sheetData>
  <mergeCells count="1"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440</v>
      </c>
    </row>
    <row r="2" customFormat="false" ht="15" hidden="false" customHeight="false" outlineLevel="0" collapsed="false">
      <c r="A2" s="2" t="s">
        <v>441</v>
      </c>
    </row>
    <row r="4" customFormat="false" ht="15" hidden="false" customHeight="false" outlineLevel="0" collapsed="false">
      <c r="A4" s="17" t="s">
        <v>442</v>
      </c>
      <c r="B4" s="17" t="s">
        <v>443</v>
      </c>
      <c r="C4" s="17" t="s">
        <v>444</v>
      </c>
      <c r="D4" s="17" t="s">
        <v>445</v>
      </c>
      <c r="E4" s="17" t="s">
        <v>446</v>
      </c>
      <c r="F4" s="17" t="s">
        <v>447</v>
      </c>
      <c r="G4" s="17" t="s">
        <v>448</v>
      </c>
      <c r="H4" s="17" t="s">
        <v>449</v>
      </c>
    </row>
    <row r="5" customFormat="false" ht="48" hidden="false" customHeight="true" outlineLevel="0" collapsed="false">
      <c r="A5" s="12" t="s">
        <v>15</v>
      </c>
      <c r="B5" s="6" t="s">
        <v>450</v>
      </c>
      <c r="C5" s="6" t="s">
        <v>451</v>
      </c>
      <c r="D5" s="6" t="s">
        <v>452</v>
      </c>
      <c r="E5" s="6" t="s">
        <v>453</v>
      </c>
      <c r="F5" s="6" t="s">
        <v>454</v>
      </c>
      <c r="G5" s="6" t="s">
        <v>455</v>
      </c>
      <c r="H5" s="12" t="s">
        <v>456</v>
      </c>
    </row>
    <row r="6" customFormat="false" ht="48" hidden="false" customHeight="true" outlineLevel="0" collapsed="false">
      <c r="A6" s="12" t="s">
        <v>26</v>
      </c>
      <c r="B6" s="6" t="s">
        <v>457</v>
      </c>
      <c r="C6" s="6" t="s">
        <v>458</v>
      </c>
      <c r="D6" s="6" t="s">
        <v>459</v>
      </c>
      <c r="E6" s="6" t="s">
        <v>460</v>
      </c>
      <c r="F6" s="6" t="s">
        <v>461</v>
      </c>
      <c r="G6" s="6" t="s">
        <v>462</v>
      </c>
      <c r="H6" s="12" t="s">
        <v>463</v>
      </c>
    </row>
    <row r="7" customFormat="false" ht="48" hidden="false" customHeight="true" outlineLevel="0" collapsed="false">
      <c r="A7" s="12" t="s">
        <v>464</v>
      </c>
      <c r="B7" s="6" t="s">
        <v>465</v>
      </c>
      <c r="C7" s="6" t="s">
        <v>466</v>
      </c>
      <c r="D7" s="40"/>
      <c r="E7" s="6" t="s">
        <v>467</v>
      </c>
      <c r="F7" s="6" t="s">
        <v>468</v>
      </c>
      <c r="G7" s="6" t="s">
        <v>469</v>
      </c>
      <c r="H7" s="12" t="s">
        <v>470</v>
      </c>
    </row>
    <row r="8" customFormat="false" ht="48" hidden="false" customHeight="true" outlineLevel="0" collapsed="false">
      <c r="A8" s="12" t="s">
        <v>471</v>
      </c>
      <c r="B8" s="6" t="s">
        <v>472</v>
      </c>
      <c r="C8" s="6" t="s">
        <v>473</v>
      </c>
      <c r="D8" s="6" t="s">
        <v>474</v>
      </c>
      <c r="E8" s="6" t="s">
        <v>475</v>
      </c>
      <c r="F8" s="6" t="s">
        <v>476</v>
      </c>
      <c r="G8" s="6" t="s">
        <v>477</v>
      </c>
      <c r="H8" s="12" t="s">
        <v>478</v>
      </c>
    </row>
    <row r="9" customFormat="false" ht="48" hidden="false" customHeight="true" outlineLevel="0" collapsed="false">
      <c r="A9" s="12" t="s">
        <v>46</v>
      </c>
      <c r="B9" s="6" t="s">
        <v>479</v>
      </c>
      <c r="C9" s="6" t="s">
        <v>480</v>
      </c>
      <c r="D9" s="40"/>
      <c r="E9" s="6" t="s">
        <v>481</v>
      </c>
      <c r="F9" s="40"/>
      <c r="G9" s="6" t="s">
        <v>482</v>
      </c>
      <c r="H9" s="12" t="s">
        <v>483</v>
      </c>
    </row>
    <row r="11" customFormat="false" ht="39.75" hidden="false" customHeight="true" outlineLevel="0" collapsed="false">
      <c r="A11" s="12" t="s">
        <v>484</v>
      </c>
      <c r="B11" s="12"/>
      <c r="C11" s="12"/>
      <c r="D11" s="12"/>
      <c r="E11" s="12"/>
      <c r="F11" s="12"/>
      <c r="G11" s="12"/>
      <c r="H11" s="12"/>
    </row>
    <row r="13" customFormat="false" ht="15" hidden="false" customHeight="false" outlineLevel="0" collapsed="false">
      <c r="A13" s="3" t="s">
        <v>485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5" t="s">
        <v>442</v>
      </c>
      <c r="B14" s="5" t="s">
        <v>486</v>
      </c>
      <c r="C14" s="5" t="s">
        <v>487</v>
      </c>
      <c r="D14" s="5" t="s">
        <v>488</v>
      </c>
      <c r="E14" s="5" t="s">
        <v>489</v>
      </c>
      <c r="F14" s="5" t="s">
        <v>490</v>
      </c>
      <c r="G14" s="5" t="s">
        <v>491</v>
      </c>
      <c r="H14" s="5" t="s">
        <v>492</v>
      </c>
      <c r="I14" s="5" t="s">
        <v>493</v>
      </c>
      <c r="J14" s="5" t="s">
        <v>494</v>
      </c>
      <c r="K14" s="5" t="s">
        <v>495</v>
      </c>
      <c r="L14" s="5" t="s">
        <v>496</v>
      </c>
      <c r="M14" s="5" t="s">
        <v>497</v>
      </c>
    </row>
    <row r="15" customFormat="false" ht="15" hidden="false" customHeight="false" outlineLevel="0" collapsed="false">
      <c r="A15" s="41" t="s">
        <v>14</v>
      </c>
      <c r="B15" s="42" t="s">
        <v>498</v>
      </c>
      <c r="C15" s="42" t="s">
        <v>498</v>
      </c>
      <c r="D15" s="42" t="s">
        <v>498</v>
      </c>
      <c r="E15" s="42" t="s">
        <v>498</v>
      </c>
      <c r="F15" s="42" t="s">
        <v>498</v>
      </c>
      <c r="G15" s="42" t="s">
        <v>498</v>
      </c>
      <c r="H15" s="42" t="s">
        <v>498</v>
      </c>
      <c r="I15" s="42" t="s">
        <v>498</v>
      </c>
      <c r="J15" s="42" t="s">
        <v>498</v>
      </c>
      <c r="K15" s="42" t="s">
        <v>498</v>
      </c>
      <c r="L15" s="42" t="s">
        <v>498</v>
      </c>
      <c r="M15" s="42" t="s">
        <v>498</v>
      </c>
    </row>
    <row r="16" customFormat="false" ht="15" hidden="false" customHeight="false" outlineLevel="0" collapsed="false">
      <c r="A16" s="41" t="s">
        <v>15</v>
      </c>
      <c r="B16" s="42" t="s">
        <v>498</v>
      </c>
      <c r="C16" s="42" t="s">
        <v>498</v>
      </c>
      <c r="D16" s="42" t="s">
        <v>498</v>
      </c>
      <c r="E16" s="42"/>
      <c r="F16" s="42"/>
      <c r="G16" s="42"/>
      <c r="H16" s="42" t="s">
        <v>498</v>
      </c>
      <c r="I16" s="42" t="s">
        <v>498</v>
      </c>
      <c r="J16" s="42" t="s">
        <v>498</v>
      </c>
      <c r="K16" s="42" t="s">
        <v>498</v>
      </c>
      <c r="L16" s="42" t="s">
        <v>498</v>
      </c>
      <c r="M16" s="42" t="s">
        <v>498</v>
      </c>
    </row>
    <row r="17" customFormat="false" ht="15" hidden="false" customHeight="false" outlineLevel="0" collapsed="false">
      <c r="A17" s="41" t="s">
        <v>16</v>
      </c>
      <c r="B17" s="42"/>
      <c r="C17" s="42"/>
      <c r="D17" s="42"/>
      <c r="E17" s="42" t="s">
        <v>498</v>
      </c>
      <c r="F17" s="42" t="s">
        <v>498</v>
      </c>
      <c r="G17" s="42" t="s">
        <v>498</v>
      </c>
      <c r="H17" s="42"/>
      <c r="I17" s="42"/>
      <c r="J17" s="42"/>
      <c r="K17" s="42"/>
      <c r="L17" s="42"/>
      <c r="M17" s="42"/>
    </row>
  </sheetData>
  <mergeCells count="1"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5" min="2" style="0" width="15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499</v>
      </c>
    </row>
    <row r="2" customFormat="false" ht="15" hidden="false" customHeight="false" outlineLevel="0" collapsed="false">
      <c r="A2" s="2" t="s">
        <v>500</v>
      </c>
    </row>
    <row r="4" customFormat="false" ht="15" hidden="false" customHeight="false" outlineLevel="0" collapsed="false">
      <c r="A4" s="17" t="s">
        <v>316</v>
      </c>
      <c r="B4" s="17" t="s">
        <v>14</v>
      </c>
      <c r="C4" s="17" t="s">
        <v>15</v>
      </c>
      <c r="D4" s="17" t="s">
        <v>16</v>
      </c>
      <c r="E4" s="17" t="s">
        <v>17</v>
      </c>
      <c r="F4" s="17" t="s">
        <v>501</v>
      </c>
    </row>
    <row r="5" customFormat="false" ht="15" hidden="false" customHeight="false" outlineLevel="0" collapsed="false">
      <c r="A5" s="3" t="s">
        <v>502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6" t="s">
        <v>503</v>
      </c>
      <c r="B6" s="7" t="n">
        <f aca="false">Inputs!$B$8</f>
        <v>300</v>
      </c>
      <c r="C6" s="7" t="n">
        <f aca="false">MAX(0,MIN(Inputs!$B$76,Inputs!$B$8-D6))</f>
        <v>240</v>
      </c>
      <c r="D6" s="7" t="n">
        <f aca="false">MIN(Inputs!$B$86,Inputs!$B$8)</f>
        <v>60</v>
      </c>
      <c r="F6" s="6" t="s">
        <v>504</v>
      </c>
    </row>
    <row r="7" customFormat="false" ht="15" hidden="false" customHeight="false" outlineLevel="0" collapsed="false">
      <c r="A7" s="6" t="s">
        <v>505</v>
      </c>
      <c r="B7" s="7" t="n">
        <f aca="false">Inputs!$B$11</f>
        <v>25</v>
      </c>
      <c r="C7" s="7" t="n">
        <f aca="false">MIN(Inputs!$B$75,Inputs!$B$12)</f>
        <v>6</v>
      </c>
      <c r="D7" s="7" t="n">
        <f aca="false">MIN(Inputs!$B$85,Inputs!$B$12)</f>
        <v>6</v>
      </c>
      <c r="F7" s="6" t="s">
        <v>506</v>
      </c>
    </row>
    <row r="8" customFormat="false" ht="15" hidden="false" customHeight="false" outlineLevel="0" collapsed="false">
      <c r="A8" s="6" t="s">
        <v>507</v>
      </c>
      <c r="B8" s="31" t="n">
        <f aca="false">B6*B7</f>
        <v>7500</v>
      </c>
      <c r="C8" s="31" t="n">
        <f aca="false">C6*C7</f>
        <v>1440</v>
      </c>
      <c r="D8" s="31" t="n">
        <f aca="false">D6*D7</f>
        <v>360</v>
      </c>
      <c r="F8" s="6" t="s">
        <v>508</v>
      </c>
    </row>
    <row r="9" customFormat="false" ht="15" hidden="false" customHeight="false" outlineLevel="0" collapsed="false">
      <c r="A9" s="3" t="s">
        <v>509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6" t="s">
        <v>510</v>
      </c>
      <c r="B10" s="7" t="n">
        <f aca="false">'Farm Plan'!$D$40</f>
        <v>5684.21052631579</v>
      </c>
      <c r="C10" s="7" t="n">
        <f aca="false">Inputs!$B$75*Inputs!$B$76</f>
        <v>1440</v>
      </c>
      <c r="D10" s="7" t="n">
        <f aca="false">Inputs!$B$85*Inputs!$B$86</f>
        <v>360</v>
      </c>
      <c r="F10" s="6" t="s">
        <v>508</v>
      </c>
    </row>
    <row r="11" customFormat="false" ht="15" hidden="false" customHeight="false" outlineLevel="0" collapsed="false">
      <c r="A11" s="12" t="s">
        <v>18</v>
      </c>
      <c r="B11" s="43" t="n">
        <f aca="false">MIN(B10,B8)</f>
        <v>5684.21052631579</v>
      </c>
      <c r="C11" s="43" t="n">
        <f aca="false">MIN(C10,C8)</f>
        <v>1440</v>
      </c>
      <c r="D11" s="43" t="n">
        <f aca="false">MIN(D10,D8)</f>
        <v>360</v>
      </c>
      <c r="E11" s="43" t="n">
        <f aca="false">SUM(B11:D11)</f>
        <v>7484.21052631579</v>
      </c>
      <c r="F11" s="6" t="s">
        <v>508</v>
      </c>
    </row>
    <row r="12" customFormat="false" ht="15" hidden="false" customHeight="false" outlineLevel="0" collapsed="false">
      <c r="A12" s="6" t="s">
        <v>511</v>
      </c>
      <c r="B12" s="31" t="n">
        <f aca="false">B10-B11</f>
        <v>0</v>
      </c>
      <c r="F12" s="6" t="s">
        <v>512</v>
      </c>
    </row>
    <row r="13" customFormat="false" ht="15" hidden="false" customHeight="false" outlineLevel="0" collapsed="false">
      <c r="A13" s="6" t="s">
        <v>513</v>
      </c>
      <c r="B13" s="44" t="n">
        <f aca="false">IF(B8=0,0,B11/B8)</f>
        <v>0.757894736842105</v>
      </c>
      <c r="C13" s="44" t="n">
        <f aca="false">IF(C8=0,0,C11/C8)</f>
        <v>1</v>
      </c>
      <c r="D13" s="44" t="n">
        <f aca="false">IF(D8=0,0,D11/D8)</f>
        <v>1</v>
      </c>
      <c r="F13" s="6" t="s">
        <v>173</v>
      </c>
    </row>
    <row r="14" customFormat="false" ht="15" hidden="false" customHeight="false" outlineLevel="0" collapsed="false">
      <c r="A14" s="3" t="s">
        <v>514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6" t="s">
        <v>515</v>
      </c>
      <c r="B15" s="7" t="n">
        <f aca="false">B11*Inputs!$B$58</f>
        <v>454.736842105263</v>
      </c>
      <c r="C15" s="20" t="n">
        <v>0</v>
      </c>
      <c r="D15" s="20" t="n">
        <v>0</v>
      </c>
      <c r="E15" s="31" t="n">
        <f aca="false">SUM(B15:D15)</f>
        <v>454.736842105263</v>
      </c>
      <c r="F15" s="6" t="s">
        <v>516</v>
      </c>
    </row>
    <row r="16" customFormat="false" ht="15" hidden="false" customHeight="false" outlineLevel="0" collapsed="false">
      <c r="A16" s="6" t="s">
        <v>517</v>
      </c>
      <c r="B16" s="31" t="n">
        <f aca="false">B11-B15</f>
        <v>5229.47368421053</v>
      </c>
      <c r="C16" s="31" t="n">
        <f aca="false">C11</f>
        <v>1440</v>
      </c>
      <c r="D16" s="31" t="n">
        <f aca="false">D11</f>
        <v>360</v>
      </c>
      <c r="E16" s="31" t="n">
        <f aca="false">SUM(B16:D16)</f>
        <v>7029.47368421053</v>
      </c>
      <c r="F16" s="6" t="s">
        <v>508</v>
      </c>
    </row>
    <row r="17" customFormat="false" ht="15" hidden="false" customHeight="false" outlineLevel="0" collapsed="false">
      <c r="A17" s="6" t="s">
        <v>518</v>
      </c>
      <c r="B17" s="7" t="n">
        <f aca="false">B16*Inputs!$B$59</f>
        <v>522.947368421053</v>
      </c>
      <c r="C17" s="7" t="n">
        <f aca="false">C16*Inputs!$B$79</f>
        <v>172.8</v>
      </c>
      <c r="D17" s="7" t="n">
        <f aca="false">D16*Inputs!$B$89</f>
        <v>28.8</v>
      </c>
      <c r="E17" s="31" t="n">
        <f aca="false">SUM(B17:D17)</f>
        <v>724.547368421053</v>
      </c>
      <c r="F17" s="6" t="s">
        <v>519</v>
      </c>
    </row>
    <row r="18" customFormat="false" ht="15" hidden="false" customHeight="false" outlineLevel="0" collapsed="false">
      <c r="A18" s="6" t="s">
        <v>520</v>
      </c>
      <c r="B18" s="31" t="n">
        <f aca="false">B16-B17</f>
        <v>4706.52631578947</v>
      </c>
      <c r="C18" s="31" t="n">
        <f aca="false">C16-C17</f>
        <v>1267.2</v>
      </c>
      <c r="D18" s="31" t="n">
        <f aca="false">D16-D17</f>
        <v>331.2</v>
      </c>
      <c r="E18" s="31" t="n">
        <f aca="false">SUM(B18:D18)</f>
        <v>6304.92631578947</v>
      </c>
      <c r="F18" s="6" t="s">
        <v>508</v>
      </c>
    </row>
    <row r="19" customFormat="false" ht="15" hidden="false" customHeight="false" outlineLevel="0" collapsed="false">
      <c r="A19" s="12" t="s">
        <v>521</v>
      </c>
      <c r="B19" s="45" t="n">
        <f aca="false">B18*(1-Inputs!$B$60)</f>
        <v>4635.92842105263</v>
      </c>
      <c r="C19" s="45" t="n">
        <f aca="false">C18*(1-Inputs!$B$60)</f>
        <v>1248.192</v>
      </c>
      <c r="D19" s="45" t="n">
        <f aca="false">D18*(1-Inputs!$B$60)</f>
        <v>326.232</v>
      </c>
      <c r="E19" s="43" t="n">
        <f aca="false">SUM(B19:D19)</f>
        <v>6210.35242105263</v>
      </c>
      <c r="F19" s="6" t="s">
        <v>508</v>
      </c>
    </row>
    <row r="20" customFormat="false" ht="15" hidden="false" customHeight="false" outlineLevel="0" collapsed="false">
      <c r="A20" s="6" t="s">
        <v>522</v>
      </c>
      <c r="B20" s="7" t="n">
        <f aca="false">B19*Inputs!$B$61</f>
        <v>1158.98210526316</v>
      </c>
      <c r="C20" s="20" t="n">
        <v>0</v>
      </c>
      <c r="D20" s="20" t="n">
        <v>0</v>
      </c>
      <c r="E20" s="31" t="n">
        <f aca="false">SUM(B20:D20)</f>
        <v>1158.98210526316</v>
      </c>
      <c r="F20" s="6" t="s">
        <v>508</v>
      </c>
    </row>
    <row r="21" customFormat="false" ht="15" hidden="false" customHeight="false" outlineLevel="0" collapsed="false">
      <c r="A21" s="6" t="s">
        <v>523</v>
      </c>
      <c r="B21" s="31" t="n">
        <f aca="false">B19-B20</f>
        <v>3476.94631578947</v>
      </c>
      <c r="C21" s="31" t="n">
        <f aca="false">C19</f>
        <v>1248.192</v>
      </c>
      <c r="D21" s="31" t="n">
        <f aca="false">D19</f>
        <v>326.232</v>
      </c>
      <c r="E21" s="31" t="n">
        <f aca="false">SUM(B21:D21)</f>
        <v>5051.37031578947</v>
      </c>
      <c r="F21" s="6" t="s">
        <v>508</v>
      </c>
    </row>
    <row r="22" customFormat="false" ht="15" hidden="false" customHeight="false" outlineLevel="0" collapsed="false">
      <c r="A22" s="6" t="s">
        <v>524</v>
      </c>
      <c r="B22" s="7" t="n">
        <f aca="false">B19*1000/Inputs!$B$62</f>
        <v>356609.87854251</v>
      </c>
      <c r="C22" s="7" t="n">
        <f aca="false">C19*1000/Inputs!$B$81</f>
        <v>124819.2</v>
      </c>
      <c r="D22" s="7" t="n">
        <f aca="false">D19*1000/Inputs!$B$91</f>
        <v>108744</v>
      </c>
      <c r="E22" s="31" t="n">
        <f aca="false">SUM(B22:D22)</f>
        <v>590173.07854251</v>
      </c>
      <c r="F22" s="6" t="s">
        <v>525</v>
      </c>
    </row>
    <row r="23" customFormat="false" ht="15" hidden="false" customHeight="false" outlineLevel="0" collapsed="false">
      <c r="A23" s="6" t="s">
        <v>526</v>
      </c>
      <c r="B23" s="11" t="n">
        <f aca="false">B20*1000/(Inputs!$B$62*Inputs!$B$63)</f>
        <v>57.8912140491088</v>
      </c>
      <c r="F23" s="6" t="s">
        <v>525</v>
      </c>
    </row>
    <row r="24" customFormat="false" ht="15" hidden="false" customHeight="false" outlineLevel="0" collapsed="false">
      <c r="A24" s="6" t="s">
        <v>527</v>
      </c>
      <c r="B24" s="7" t="n">
        <f aca="false">B21*1000/Inputs!$B$109</f>
        <v>386.327368421053</v>
      </c>
      <c r="C24" s="7" t="n">
        <f aca="false">C21*1000/Inputs!$B$109</f>
        <v>138.688</v>
      </c>
      <c r="D24" s="7" t="n">
        <f aca="false">D21*1000/Inputs!$B$109</f>
        <v>36.248</v>
      </c>
      <c r="E24" s="31" t="n">
        <f aca="false">SUM(B24:D24)</f>
        <v>561.263368421053</v>
      </c>
      <c r="F24" s="6" t="s">
        <v>525</v>
      </c>
    </row>
    <row r="25" customFormat="false" ht="15" hidden="false" customHeight="false" outlineLevel="0" collapsed="false">
      <c r="A25" s="6" t="s">
        <v>528</v>
      </c>
      <c r="B25" s="7" t="n">
        <f aca="false">(Inputs!$B$21-Inputs!$B$33)*Inputs!$B$22*Inputs!$B$64*24/(Inputs!$B$25+Inputs!$B$26)/1000</f>
        <v>6821.05263157895</v>
      </c>
      <c r="F25" s="6" t="s">
        <v>508</v>
      </c>
    </row>
    <row r="26" customFormat="false" ht="15" hidden="false" customHeight="false" outlineLevel="0" collapsed="false">
      <c r="A26" s="3" t="s">
        <v>529</v>
      </c>
      <c r="B26" s="4"/>
      <c r="C26" s="4"/>
      <c r="D26" s="4"/>
      <c r="E26" s="4"/>
      <c r="F26" s="4"/>
    </row>
    <row r="27" customFormat="false" ht="15" hidden="false" customHeight="false" outlineLevel="0" collapsed="false">
      <c r="A27" s="6" t="s">
        <v>530</v>
      </c>
      <c r="E27" s="7" t="n">
        <f aca="false">E18/Inputs!$B$9</f>
        <v>21.0164210526316</v>
      </c>
      <c r="F27" s="6" t="s">
        <v>79</v>
      </c>
    </row>
    <row r="28" customFormat="false" ht="15" hidden="false" customHeight="false" outlineLevel="0" collapsed="false">
      <c r="A28" s="6" t="s">
        <v>531</v>
      </c>
      <c r="E28" s="7" t="n">
        <f aca="false">Inputs!$B$13*Inputs!$B$14*Inputs!$B$15</f>
        <v>36</v>
      </c>
      <c r="F28" s="6" t="s">
        <v>79</v>
      </c>
    </row>
    <row r="29" customFormat="false" ht="15" hidden="false" customHeight="false" outlineLevel="0" collapsed="false">
      <c r="A29" s="6" t="s">
        <v>532</v>
      </c>
      <c r="E29" s="44" t="n">
        <f aca="false">E27/E28</f>
        <v>0.583789473684211</v>
      </c>
      <c r="F29" s="6" t="s">
        <v>533</v>
      </c>
    </row>
    <row r="30" customFormat="false" ht="15" hidden="false" customHeight="false" outlineLevel="0" collapsed="false">
      <c r="A30" s="3" t="s">
        <v>534</v>
      </c>
      <c r="B30" s="4"/>
      <c r="C30" s="4"/>
      <c r="D30" s="4"/>
      <c r="E30" s="4"/>
      <c r="F30" s="4"/>
    </row>
    <row r="31" customFormat="false" ht="15" hidden="false" customHeight="false" outlineLevel="0" collapsed="false">
      <c r="A31" s="6" t="s">
        <v>535</v>
      </c>
      <c r="B31" s="7" t="n">
        <f aca="false">B18*Inputs!$B$17/Inputs!$B$10</f>
        <v>28.5244019138756</v>
      </c>
      <c r="C31" s="7" t="n">
        <f aca="false">C18*Inputs!$B$18/Inputs!$B$10</f>
        <v>11.52</v>
      </c>
      <c r="D31" s="7" t="n">
        <f aca="false">D18*Inputs!$B$19/Inputs!$B$10</f>
        <v>4.01454545454546</v>
      </c>
      <c r="E31" s="31" t="n">
        <f aca="false">SUM(B31:D31)</f>
        <v>44.0589473684211</v>
      </c>
      <c r="F31" s="6" t="s">
        <v>536</v>
      </c>
    </row>
    <row r="32" customFormat="false" ht="15" hidden="false" customHeight="false" outlineLevel="0" collapsed="false">
      <c r="A32" s="6" t="s">
        <v>537</v>
      </c>
      <c r="B32" s="7" t="n">
        <f aca="false">B31*1.5+IF(B20&gt;0,Inputs!$B$62*Inputs!$B$63/1000,0)</f>
        <v>62.8066028708134</v>
      </c>
      <c r="C32" s="31" t="n">
        <f aca="false">C31*1.5</f>
        <v>17.28</v>
      </c>
      <c r="D32" s="31" t="n">
        <f aca="false">D31*1.5</f>
        <v>6.02181818181818</v>
      </c>
      <c r="E32" s="31" t="n">
        <f aca="false">SUM(B32:D32)</f>
        <v>86.1084210526316</v>
      </c>
      <c r="F32" s="6" t="s">
        <v>538</v>
      </c>
    </row>
    <row r="33" customFormat="false" ht="15" hidden="false" customHeight="false" outlineLevel="0" collapsed="false">
      <c r="A33" s="6" t="s">
        <v>539</v>
      </c>
      <c r="E33" s="8" t="n">
        <f aca="false">E32/Inputs!$B$16</f>
        <v>0.861084210526316</v>
      </c>
      <c r="F33" s="6" t="s">
        <v>173</v>
      </c>
    </row>
    <row r="34" customFormat="false" ht="15" hidden="false" customHeight="false" outlineLevel="0" collapsed="false">
      <c r="A34" s="3" t="s">
        <v>540</v>
      </c>
      <c r="B34" s="4"/>
      <c r="C34" s="4"/>
      <c r="D34" s="4"/>
      <c r="E34" s="4"/>
      <c r="F34" s="4"/>
    </row>
    <row r="35" customFormat="false" ht="15" hidden="false" customHeight="false" outlineLevel="0" collapsed="false">
      <c r="A35" s="6" t="s">
        <v>541</v>
      </c>
      <c r="B35" s="7" t="n">
        <f aca="false">'Farm Plan'!$D$40/Inputs!$B$37</f>
        <v>437.246963562753</v>
      </c>
      <c r="F35" s="6" t="s">
        <v>542</v>
      </c>
    </row>
    <row r="36" customFormat="false" ht="15" hidden="false" customHeight="false" outlineLevel="0" collapsed="false">
      <c r="A36" s="6" t="s">
        <v>543</v>
      </c>
      <c r="E36" s="31" t="n">
        <f aca="false">C6+D6</f>
        <v>300</v>
      </c>
      <c r="F36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7" min="5" style="0" width="16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544</v>
      </c>
    </row>
    <row r="2" customFormat="false" ht="15" hidden="false" customHeight="false" outlineLevel="0" collapsed="false">
      <c r="A2" s="2" t="s">
        <v>545</v>
      </c>
    </row>
    <row r="4" customFormat="false" ht="15" hidden="false" customHeight="false" outlineLevel="0" collapsed="false">
      <c r="A4" s="17" t="s">
        <v>316</v>
      </c>
      <c r="B4" s="17" t="s">
        <v>337</v>
      </c>
      <c r="C4" s="17" t="s">
        <v>58</v>
      </c>
      <c r="D4" s="17" t="s">
        <v>546</v>
      </c>
      <c r="E4" s="17" t="s">
        <v>547</v>
      </c>
      <c r="F4" s="17" t="s">
        <v>548</v>
      </c>
      <c r="G4" s="17" t="s">
        <v>549</v>
      </c>
      <c r="H4" s="17" t="s">
        <v>550</v>
      </c>
      <c r="I4" s="17" t="s">
        <v>369</v>
      </c>
      <c r="J4" s="17" t="s">
        <v>551</v>
      </c>
      <c r="K4" s="17" t="s">
        <v>61</v>
      </c>
      <c r="L4" s="17" t="s">
        <v>552</v>
      </c>
    </row>
    <row r="5" customFormat="false" ht="15" hidden="false" customHeight="false" outlineLevel="0" collapsed="false">
      <c r="A5" s="3" t="s">
        <v>553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.85" hidden="false" customHeight="false" outlineLevel="0" collapsed="false">
      <c r="A6" s="6" t="s">
        <v>554</v>
      </c>
      <c r="B6" s="20" t="n">
        <v>1</v>
      </c>
      <c r="C6" s="6" t="s">
        <v>555</v>
      </c>
      <c r="D6" s="18" t="n">
        <v>9000000</v>
      </c>
      <c r="E6" s="32" t="n">
        <f aca="false">B6*D6</f>
        <v>9000000</v>
      </c>
      <c r="F6" s="32" t="n">
        <f aca="false">B6*5000000</f>
        <v>5000000</v>
      </c>
      <c r="G6" s="32" t="n">
        <f aca="false">IF(ISNUMBER(F6),MIN(E6,F6),0)</f>
        <v>5000000</v>
      </c>
      <c r="H6" s="9" t="n">
        <f aca="false">G6*Inputs!$B$119</f>
        <v>1750000</v>
      </c>
      <c r="I6" s="20" t="n">
        <v>15</v>
      </c>
      <c r="J6" s="32" t="n">
        <f aca="false">E6/I6</f>
        <v>600000</v>
      </c>
      <c r="K6" s="6" t="s">
        <v>66</v>
      </c>
      <c r="L6" s="6" t="s">
        <v>556</v>
      </c>
    </row>
    <row r="7" customFormat="false" ht="23.85" hidden="false" customHeight="false" outlineLevel="0" collapsed="false">
      <c r="A7" s="6" t="s">
        <v>557</v>
      </c>
      <c r="B7" s="20" t="n">
        <v>1</v>
      </c>
      <c r="C7" s="6" t="s">
        <v>558</v>
      </c>
      <c r="D7" s="18" t="n">
        <v>1800000</v>
      </c>
      <c r="E7" s="32" t="n">
        <f aca="false">B7*D7</f>
        <v>1800000</v>
      </c>
      <c r="F7" s="6" t="s">
        <v>559</v>
      </c>
      <c r="G7" s="32" t="n">
        <f aca="false">IF(ISNUMBER(F7),MIN(E7,F7),0)</f>
        <v>0</v>
      </c>
      <c r="H7" s="9" t="n">
        <f aca="false">G7*Inputs!$B$119</f>
        <v>0</v>
      </c>
      <c r="I7" s="20" t="n">
        <v>10</v>
      </c>
      <c r="J7" s="32" t="n">
        <f aca="false">E7/I7</f>
        <v>180000</v>
      </c>
      <c r="K7" s="6" t="s">
        <v>74</v>
      </c>
      <c r="L7" s="6" t="s">
        <v>560</v>
      </c>
    </row>
    <row r="8" customFormat="false" ht="15" hidden="false" customHeight="false" outlineLevel="0" collapsed="false">
      <c r="A8" s="6" t="s">
        <v>561</v>
      </c>
      <c r="B8" s="20" t="n">
        <v>3000</v>
      </c>
      <c r="C8" s="6" t="s">
        <v>562</v>
      </c>
      <c r="D8" s="18" t="n">
        <v>350</v>
      </c>
      <c r="E8" s="32" t="n">
        <f aca="false">B8*D8</f>
        <v>1050000</v>
      </c>
      <c r="F8" s="6" t="s">
        <v>559</v>
      </c>
      <c r="G8" s="32" t="n">
        <f aca="false">IF(ISNUMBER(F8),MIN(E8,F8),0)</f>
        <v>0</v>
      </c>
      <c r="H8" s="9" t="n">
        <f aca="false">G8*Inputs!$B$119</f>
        <v>0</v>
      </c>
      <c r="I8" s="20" t="n">
        <v>4</v>
      </c>
      <c r="J8" s="32" t="n">
        <f aca="false">E8/I8</f>
        <v>262500</v>
      </c>
      <c r="K8" s="6" t="s">
        <v>74</v>
      </c>
      <c r="L8" s="6"/>
    </row>
    <row r="9" customFormat="false" ht="15" hidden="false" customHeight="false" outlineLevel="0" collapsed="false">
      <c r="A9" s="6" t="s">
        <v>563</v>
      </c>
      <c r="B9" s="20" t="n">
        <v>1</v>
      </c>
      <c r="C9" s="6" t="s">
        <v>558</v>
      </c>
      <c r="D9" s="18" t="n">
        <v>400000</v>
      </c>
      <c r="E9" s="32" t="n">
        <f aca="false">B9*D9</f>
        <v>400000</v>
      </c>
      <c r="F9" s="6" t="s">
        <v>559</v>
      </c>
      <c r="G9" s="32" t="n">
        <f aca="false">IF(ISNUMBER(F9),MIN(E9,F9),0)</f>
        <v>0</v>
      </c>
      <c r="H9" s="9" t="n">
        <f aca="false">G9*Inputs!$B$119</f>
        <v>0</v>
      </c>
      <c r="I9" s="20" t="n">
        <v>7</v>
      </c>
      <c r="J9" s="32" t="n">
        <f aca="false">E9/I9</f>
        <v>57142.8571428571</v>
      </c>
      <c r="K9" s="6" t="s">
        <v>74</v>
      </c>
      <c r="L9" s="6"/>
    </row>
    <row r="10" customFormat="false" ht="15" hidden="false" customHeight="false" outlineLevel="0" collapsed="false">
      <c r="A10" s="12" t="s">
        <v>564</v>
      </c>
      <c r="E10" s="34" t="n">
        <f aca="false">SUM(E6:E9)</f>
        <v>12250000</v>
      </c>
      <c r="G10" s="34" t="n">
        <f aca="false">SUM(G6:G9)</f>
        <v>5000000</v>
      </c>
      <c r="H10" s="34" t="n">
        <f aca="false">SUM(H6:H9)</f>
        <v>1750000</v>
      </c>
      <c r="J10" s="34" t="n">
        <f aca="false">SUM(J6:J9)</f>
        <v>1099642.85714286</v>
      </c>
    </row>
    <row r="11" customFormat="false" ht="15" hidden="false" customHeight="false" outlineLevel="0" collapsed="false">
      <c r="A11" s="3" t="s">
        <v>565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6" t="s">
        <v>566</v>
      </c>
      <c r="B12" s="7" t="n">
        <f aca="false">Inputs!$B$13</f>
        <v>3</v>
      </c>
      <c r="C12" s="6" t="s">
        <v>555</v>
      </c>
      <c r="D12" s="18" t="n">
        <v>3000000</v>
      </c>
      <c r="E12" s="32" t="n">
        <f aca="false">B12*D12</f>
        <v>9000000</v>
      </c>
      <c r="F12" s="32" t="n">
        <f aca="false">B12*2500000</f>
        <v>7500000</v>
      </c>
      <c r="G12" s="32" t="n">
        <f aca="false">IF(ISNUMBER(F12),MIN(E12,F12),0)</f>
        <v>7500000</v>
      </c>
      <c r="H12" s="9" t="n">
        <f aca="false">G12*Inputs!$B$119</f>
        <v>2625000</v>
      </c>
      <c r="I12" s="20" t="n">
        <v>10</v>
      </c>
      <c r="J12" s="32" t="n">
        <f aca="false">E12/I12</f>
        <v>900000</v>
      </c>
      <c r="K12" s="6" t="s">
        <v>85</v>
      </c>
      <c r="L12" s="6" t="s">
        <v>567</v>
      </c>
    </row>
    <row r="13" customFormat="false" ht="15" hidden="false" customHeight="false" outlineLevel="0" collapsed="false">
      <c r="A13" s="12" t="s">
        <v>568</v>
      </c>
      <c r="E13" s="34" t="n">
        <f aca="false">SUM(E12:E12)</f>
        <v>9000000</v>
      </c>
      <c r="G13" s="34" t="n">
        <f aca="false">SUM(G12:G12)</f>
        <v>7500000</v>
      </c>
      <c r="H13" s="34" t="n">
        <f aca="false">SUM(H12:H12)</f>
        <v>2625000</v>
      </c>
      <c r="J13" s="34" t="n">
        <f aca="false">SUM(J12:J12)</f>
        <v>900000</v>
      </c>
    </row>
    <row r="14" customFormat="false" ht="15" hidden="false" customHeight="false" outlineLevel="0" collapsed="false">
      <c r="A14" s="3" t="s">
        <v>569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6" t="s">
        <v>570</v>
      </c>
      <c r="B15" s="7" t="n">
        <f aca="false">Inputs!$B$16</f>
        <v>100</v>
      </c>
      <c r="C15" s="6" t="s">
        <v>94</v>
      </c>
      <c r="D15" s="18" t="n">
        <v>22000</v>
      </c>
      <c r="E15" s="32" t="n">
        <f aca="false">B15*D15</f>
        <v>2200000</v>
      </c>
      <c r="F15" s="32" t="n">
        <f aca="false">B15*8000</f>
        <v>800000</v>
      </c>
      <c r="G15" s="32" t="n">
        <f aca="false">IF(ISNUMBER(F15),MIN(E15,F15),0)</f>
        <v>800000</v>
      </c>
      <c r="H15" s="9" t="n">
        <f aca="false">G15*Inputs!$B$119</f>
        <v>280000</v>
      </c>
      <c r="I15" s="20" t="n">
        <v>10</v>
      </c>
      <c r="J15" s="32" t="n">
        <f aca="false">E15/I15</f>
        <v>220000</v>
      </c>
      <c r="K15" s="6" t="s">
        <v>66</v>
      </c>
      <c r="L15" s="6" t="s">
        <v>571</v>
      </c>
    </row>
    <row r="16" customFormat="false" ht="15" hidden="false" customHeight="false" outlineLevel="0" collapsed="false">
      <c r="A16" s="12" t="s">
        <v>572</v>
      </c>
      <c r="E16" s="34" t="n">
        <f aca="false">SUM(E15:E15)</f>
        <v>2200000</v>
      </c>
      <c r="G16" s="34" t="n">
        <f aca="false">SUM(G15:G15)</f>
        <v>800000</v>
      </c>
      <c r="H16" s="34" t="n">
        <f aca="false">SUM(H15:H15)</f>
        <v>280000</v>
      </c>
      <c r="J16" s="34" t="n">
        <f aca="false">SUM(J15:J15)</f>
        <v>220000</v>
      </c>
    </row>
    <row r="17" customFormat="false" ht="15" hidden="false" customHeight="false" outlineLevel="0" collapsed="false">
      <c r="A17" s="3" t="s">
        <v>573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6" t="s">
        <v>574</v>
      </c>
      <c r="B18" s="20" t="n">
        <v>1</v>
      </c>
      <c r="C18" s="6" t="s">
        <v>558</v>
      </c>
      <c r="D18" s="18" t="n">
        <v>1000000</v>
      </c>
      <c r="E18" s="32" t="n">
        <f aca="false">B18*D18</f>
        <v>1000000</v>
      </c>
      <c r="F18" s="6" t="s">
        <v>559</v>
      </c>
      <c r="G18" s="32" t="n">
        <f aca="false">IF(ISNUMBER(F18),MIN(E18,F18),0)</f>
        <v>0</v>
      </c>
      <c r="H18" s="9" t="n">
        <f aca="false">G18*Inputs!$B$119</f>
        <v>0</v>
      </c>
      <c r="I18" s="20" t="n">
        <v>20</v>
      </c>
      <c r="J18" s="32" t="n">
        <f aca="false">E18/I18</f>
        <v>50000</v>
      </c>
      <c r="K18" s="6" t="s">
        <v>74</v>
      </c>
      <c r="L18" s="6" t="s">
        <v>575</v>
      </c>
    </row>
    <row r="19" customFormat="false" ht="15" hidden="false" customHeight="false" outlineLevel="0" collapsed="false">
      <c r="A19" s="6" t="s">
        <v>576</v>
      </c>
      <c r="B19" s="20" t="n">
        <v>1</v>
      </c>
      <c r="C19" s="6" t="s">
        <v>558</v>
      </c>
      <c r="D19" s="18" t="n">
        <v>1200000</v>
      </c>
      <c r="E19" s="32" t="n">
        <f aca="false">B19*D19</f>
        <v>1200000</v>
      </c>
      <c r="F19" s="6" t="s">
        <v>559</v>
      </c>
      <c r="G19" s="32" t="n">
        <f aca="false">IF(ISNUMBER(F19),MIN(E19,F19),0)</f>
        <v>0</v>
      </c>
      <c r="H19" s="9" t="n">
        <f aca="false">G19*Inputs!$B$119</f>
        <v>0</v>
      </c>
      <c r="I19" s="20" t="n">
        <v>15</v>
      </c>
      <c r="J19" s="32" t="n">
        <f aca="false">E19/I19</f>
        <v>80000</v>
      </c>
      <c r="K19" s="6" t="s">
        <v>74</v>
      </c>
      <c r="L19" s="6" t="s">
        <v>577</v>
      </c>
    </row>
    <row r="20" customFormat="false" ht="15" hidden="false" customHeight="false" outlineLevel="0" collapsed="false">
      <c r="A20" s="6" t="s">
        <v>578</v>
      </c>
      <c r="B20" s="20" t="n">
        <v>1</v>
      </c>
      <c r="C20" s="6" t="s">
        <v>555</v>
      </c>
      <c r="D20" s="18" t="n">
        <v>1400000</v>
      </c>
      <c r="E20" s="32" t="n">
        <f aca="false">B20*D20</f>
        <v>1400000</v>
      </c>
      <c r="F20" s="6" t="s">
        <v>559</v>
      </c>
      <c r="G20" s="32" t="n">
        <f aca="false">IF(ISNUMBER(F20),MIN(E20,F20),0)</f>
        <v>0</v>
      </c>
      <c r="H20" s="9" t="n">
        <f aca="false">G20*Inputs!$B$119</f>
        <v>0</v>
      </c>
      <c r="I20" s="20" t="n">
        <v>10</v>
      </c>
      <c r="J20" s="32" t="n">
        <f aca="false">E20/I20</f>
        <v>140000</v>
      </c>
      <c r="K20" s="6" t="s">
        <v>74</v>
      </c>
      <c r="L20" s="6"/>
    </row>
    <row r="21" customFormat="false" ht="15" hidden="false" customHeight="false" outlineLevel="0" collapsed="false">
      <c r="A21" s="6" t="s">
        <v>579</v>
      </c>
      <c r="B21" s="20" t="n">
        <v>1</v>
      </c>
      <c r="C21" s="6" t="s">
        <v>558</v>
      </c>
      <c r="D21" s="18" t="n">
        <v>800000</v>
      </c>
      <c r="E21" s="32" t="n">
        <f aca="false">B21*D21</f>
        <v>800000</v>
      </c>
      <c r="F21" s="6" t="s">
        <v>559</v>
      </c>
      <c r="G21" s="32" t="n">
        <f aca="false">IF(ISNUMBER(F21),MIN(E21,F21),0)</f>
        <v>0</v>
      </c>
      <c r="H21" s="9" t="n">
        <f aca="false">G21*Inputs!$B$119</f>
        <v>0</v>
      </c>
      <c r="I21" s="20" t="n">
        <v>10</v>
      </c>
      <c r="J21" s="32" t="n">
        <f aca="false">E21/I21</f>
        <v>80000</v>
      </c>
      <c r="K21" s="6" t="s">
        <v>74</v>
      </c>
      <c r="L21" s="6" t="s">
        <v>580</v>
      </c>
    </row>
    <row r="22" customFormat="false" ht="15" hidden="false" customHeight="false" outlineLevel="0" collapsed="false">
      <c r="A22" s="6" t="s">
        <v>581</v>
      </c>
      <c r="B22" s="20" t="n">
        <v>1</v>
      </c>
      <c r="C22" s="6" t="s">
        <v>558</v>
      </c>
      <c r="D22" s="18" t="n">
        <v>300000</v>
      </c>
      <c r="E22" s="32" t="n">
        <f aca="false">B22*D22</f>
        <v>300000</v>
      </c>
      <c r="F22" s="6" t="s">
        <v>559</v>
      </c>
      <c r="G22" s="32" t="n">
        <f aca="false">IF(ISNUMBER(F22),MIN(E22,F22),0)</f>
        <v>0</v>
      </c>
      <c r="H22" s="9" t="n">
        <f aca="false">G22*Inputs!$B$119</f>
        <v>0</v>
      </c>
      <c r="I22" s="20" t="n">
        <v>5</v>
      </c>
      <c r="J22" s="32" t="n">
        <f aca="false">E22/I22</f>
        <v>60000</v>
      </c>
      <c r="K22" s="6" t="s">
        <v>74</v>
      </c>
      <c r="L22" s="6"/>
    </row>
    <row r="23" customFormat="false" ht="15" hidden="false" customHeight="false" outlineLevel="0" collapsed="false">
      <c r="A23" s="12" t="s">
        <v>582</v>
      </c>
      <c r="E23" s="34" t="n">
        <f aca="false">SUM(E18:E22)</f>
        <v>4700000</v>
      </c>
      <c r="G23" s="34" t="n">
        <f aca="false">SUM(G18:G22)</f>
        <v>0</v>
      </c>
      <c r="H23" s="34" t="n">
        <f aca="false">SUM(H18:H22)</f>
        <v>0</v>
      </c>
      <c r="J23" s="34" t="n">
        <f aca="false">SUM(J18:J22)</f>
        <v>410000</v>
      </c>
    </row>
    <row r="24" customFormat="false" ht="15" hidden="false" customHeight="false" outlineLevel="0" collapsed="false">
      <c r="A24" s="6" t="s">
        <v>583</v>
      </c>
      <c r="B24" s="25" t="n">
        <v>0.05</v>
      </c>
      <c r="E24" s="32" t="n">
        <f aca="false">(E10+E13+E16+E23)*B24</f>
        <v>1407500</v>
      </c>
      <c r="G24" s="18" t="n">
        <v>0</v>
      </c>
      <c r="H24" s="18" t="n">
        <v>0</v>
      </c>
      <c r="I24" s="20" t="n">
        <v>10</v>
      </c>
      <c r="J24" s="32" t="n">
        <f aca="false">E24/I24</f>
        <v>140750</v>
      </c>
    </row>
    <row r="25" customFormat="false" ht="15" hidden="false" customHeight="false" outlineLevel="0" collapsed="false">
      <c r="A25" s="12" t="s">
        <v>584</v>
      </c>
      <c r="E25" s="33" t="n">
        <f aca="false">E10+E13+E16+E23+E24</f>
        <v>29557500</v>
      </c>
      <c r="G25" s="33" t="n">
        <f aca="false">G10+G13+G16+G23+G24</f>
        <v>13300000</v>
      </c>
      <c r="H25" s="33" t="n">
        <f aca="false">H10+H13+H16+H23+H24</f>
        <v>4655000</v>
      </c>
      <c r="J25" s="33" t="n">
        <f aca="false">J10+J13+J16+J23+J24</f>
        <v>2770392.85714286</v>
      </c>
    </row>
    <row r="27" customFormat="false" ht="15" hidden="false" customHeight="false" outlineLevel="0" collapsed="false">
      <c r="A27" s="3" t="s">
        <v>585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false" outlineLevel="0" collapsed="false">
      <c r="A28" s="6" t="s">
        <v>586</v>
      </c>
      <c r="B28" s="32" t="n">
        <f aca="false">E25</f>
        <v>29557500</v>
      </c>
    </row>
    <row r="29" customFormat="false" ht="15" hidden="false" customHeight="false" outlineLevel="0" collapsed="false">
      <c r="A29" s="6" t="s">
        <v>587</v>
      </c>
      <c r="B29" s="9" t="n">
        <f aca="false">B28*Inputs!$B$120</f>
        <v>7389375</v>
      </c>
    </row>
    <row r="30" customFormat="false" ht="15" hidden="false" customHeight="false" outlineLevel="0" collapsed="false">
      <c r="A30" s="6" t="s">
        <v>588</v>
      </c>
      <c r="B30" s="32" t="n">
        <f aca="false">B28-B29</f>
        <v>22168125</v>
      </c>
    </row>
    <row r="31" customFormat="false" ht="15" hidden="false" customHeight="false" outlineLevel="0" collapsed="false">
      <c r="A31" s="6" t="s">
        <v>589</v>
      </c>
      <c r="B31" s="32" t="n">
        <f aca="false">H25</f>
        <v>4655000</v>
      </c>
    </row>
    <row r="32" customFormat="false" ht="15" hidden="false" customHeight="false" outlineLevel="0" collapsed="false">
      <c r="A32" s="12" t="s">
        <v>590</v>
      </c>
      <c r="B32" s="46" t="n">
        <f aca="false">B30-B31</f>
        <v>17513125</v>
      </c>
    </row>
    <row r="33" customFormat="false" ht="15" hidden="false" customHeight="false" outlineLevel="0" collapsed="false">
      <c r="A33" s="6" t="s">
        <v>591</v>
      </c>
      <c r="B33" s="8" t="n">
        <f aca="false">(MIN(B32,Inputs!$B$123)*(Inputs!$B$121-Inputs!$B$122)+MAX(0,B32-Inputs!$B$123)*Inputs!$B$121)/B32</f>
        <v>0.075</v>
      </c>
    </row>
    <row r="34" customFormat="false" ht="15" hidden="false" customHeight="false" outlineLevel="0" collapsed="false">
      <c r="A34" s="12" t="s">
        <v>592</v>
      </c>
      <c r="B34" s="47" t="n">
        <f aca="false">PMT(B33,Inputs!$B$124,-B32)</f>
        <v>3306483.5235698</v>
      </c>
    </row>
    <row r="35" customFormat="false" ht="15" hidden="false" customHeight="false" outlineLevel="0" collapsed="false">
      <c r="A35" s="6" t="s">
        <v>593</v>
      </c>
      <c r="B35" s="47" t="n">
        <f aca="false">(B34*Inputs!$B$124-B32)/Inputs!$B$124</f>
        <v>804608.523569795</v>
      </c>
    </row>
    <row r="37" customFormat="false" ht="15" hidden="false" customHeight="false" outlineLevel="0" collapsed="false">
      <c r="A37" s="3" t="s">
        <v>594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5" t="s">
        <v>595</v>
      </c>
      <c r="B38" s="5" t="s">
        <v>596</v>
      </c>
      <c r="C38" s="5" t="s">
        <v>597</v>
      </c>
      <c r="D38" s="5" t="s">
        <v>598</v>
      </c>
    </row>
    <row r="39" customFormat="false" ht="35.05" hidden="false" customHeight="false" outlineLevel="0" collapsed="false">
      <c r="A39" s="6" t="s">
        <v>599</v>
      </c>
      <c r="B39" s="38" t="n">
        <v>68</v>
      </c>
      <c r="C39" s="11" t="n">
        <f aca="false">('Packhouse Capex'!$E$10)/100000</f>
        <v>122.5</v>
      </c>
      <c r="D39" s="6" t="s">
        <v>600</v>
      </c>
    </row>
    <row r="40" customFormat="false" ht="57.45" hidden="false" customHeight="false" outlineLevel="0" collapsed="false">
      <c r="A40" s="6" t="s">
        <v>601</v>
      </c>
      <c r="B40" s="38" t="n">
        <v>45</v>
      </c>
      <c r="C40" s="38" t="n">
        <v>0</v>
      </c>
      <c r="D40" s="6" t="s">
        <v>602</v>
      </c>
    </row>
    <row r="41" customFormat="false" ht="46.25" hidden="false" customHeight="false" outlineLevel="0" collapsed="false">
      <c r="A41" s="6" t="s">
        <v>603</v>
      </c>
      <c r="B41" s="38" t="n">
        <v>28</v>
      </c>
      <c r="C41" s="11" t="n">
        <f aca="false">('Packhouse Capex'!$E$13+'Packhouse Capex'!$E$16)/100000</f>
        <v>112</v>
      </c>
      <c r="D41" s="6" t="s">
        <v>604</v>
      </c>
    </row>
    <row r="42" customFormat="false" ht="15" hidden="false" customHeight="false" outlineLevel="0" collapsed="false">
      <c r="A42" s="6" t="s">
        <v>605</v>
      </c>
      <c r="B42" s="38" t="n">
        <v>8</v>
      </c>
      <c r="C42" s="11" t="n">
        <f aca="false">('Packhouse Capex'!$E$23)/100000</f>
        <v>47</v>
      </c>
      <c r="D42" s="6"/>
    </row>
    <row r="43" customFormat="false" ht="35.05" hidden="false" customHeight="false" outlineLevel="0" collapsed="false">
      <c r="A43" s="6" t="s">
        <v>606</v>
      </c>
      <c r="B43" s="38" t="n">
        <v>15</v>
      </c>
      <c r="C43" s="38" t="n">
        <v>0</v>
      </c>
      <c r="D43" s="6" t="s">
        <v>607</v>
      </c>
    </row>
    <row r="44" customFormat="false" ht="15" hidden="false" customHeight="false" outlineLevel="0" collapsed="false">
      <c r="A44" s="6" t="s">
        <v>608</v>
      </c>
      <c r="B44" s="38" t="n">
        <v>8</v>
      </c>
      <c r="C44" s="11" t="n">
        <f aca="false">('Packhouse Capex'!$E$24)/100000</f>
        <v>14.075</v>
      </c>
      <c r="D44" s="6"/>
    </row>
    <row r="45" customFormat="false" ht="15" hidden="false" customHeight="false" outlineLevel="0" collapsed="false">
      <c r="A45" s="12" t="s">
        <v>17</v>
      </c>
      <c r="B45" s="48" t="n">
        <f aca="false">SUM(B39:B44)</f>
        <v>172</v>
      </c>
      <c r="C45" s="48" t="n">
        <f aca="false">SUM(C39:C44)</f>
        <v>295.575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609</v>
      </c>
    </row>
    <row r="2" customFormat="false" ht="15" hidden="false" customHeight="false" outlineLevel="0" collapsed="false">
      <c r="A2" s="2" t="s">
        <v>610</v>
      </c>
    </row>
    <row r="4" customFormat="false" ht="15" hidden="false" customHeight="false" outlineLevel="0" collapsed="false">
      <c r="A4" s="17" t="s">
        <v>316</v>
      </c>
      <c r="B4" s="17" t="s">
        <v>611</v>
      </c>
      <c r="C4" s="17" t="s">
        <v>612</v>
      </c>
      <c r="D4" s="17" t="s">
        <v>613</v>
      </c>
      <c r="E4" s="17" t="s">
        <v>614</v>
      </c>
      <c r="F4" s="17" t="s">
        <v>615</v>
      </c>
      <c r="G4" s="17" t="s">
        <v>616</v>
      </c>
      <c r="H4" s="17" t="s">
        <v>61</v>
      </c>
      <c r="I4" s="17" t="s">
        <v>340</v>
      </c>
    </row>
    <row r="5" customFormat="false" ht="15" hidden="false" customHeight="false" outlineLevel="0" collapsed="false">
      <c r="A5" s="3" t="s">
        <v>617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6" t="s">
        <v>618</v>
      </c>
      <c r="B6" s="7" t="n">
        <f aca="false">'Operations &amp; Capacity'!$B$35</f>
        <v>437.246963562753</v>
      </c>
      <c r="C6" s="6" t="s">
        <v>619</v>
      </c>
      <c r="D6" s="10" t="n">
        <f aca="false">(Inputs!$B$38+Inputs!$B$39)*MIN(Inputs!$B$40,Inputs!$B$36)</f>
        <v>13000</v>
      </c>
      <c r="E6" s="6" t="s">
        <v>620</v>
      </c>
      <c r="F6" s="32" t="n">
        <f aca="false">B6*D6</f>
        <v>5684210.52631579</v>
      </c>
      <c r="G6" s="6" t="s">
        <v>621</v>
      </c>
      <c r="H6" s="6" t="s">
        <v>71</v>
      </c>
      <c r="I6" s="6" t="s">
        <v>622</v>
      </c>
    </row>
    <row r="7" customFormat="false" ht="15" hidden="false" customHeight="false" outlineLevel="0" collapsed="false">
      <c r="A7" s="6" t="s">
        <v>623</v>
      </c>
      <c r="B7" s="7" t="n">
        <f aca="false">Inputs!$B$8</f>
        <v>300</v>
      </c>
      <c r="C7" s="6" t="s">
        <v>624</v>
      </c>
      <c r="D7" s="10" t="n">
        <f aca="false">Inputs!$B$41*MIN(Inputs!$B$42,Inputs!$B$36)</f>
        <v>6400</v>
      </c>
      <c r="E7" s="6" t="s">
        <v>625</v>
      </c>
      <c r="F7" s="32" t="n">
        <f aca="false">B7*D7</f>
        <v>1920000</v>
      </c>
      <c r="G7" s="6" t="s">
        <v>3</v>
      </c>
      <c r="H7" s="6" t="s">
        <v>74</v>
      </c>
      <c r="I7" s="6"/>
    </row>
    <row r="8" customFormat="false" ht="15" hidden="false" customHeight="false" outlineLevel="0" collapsed="false">
      <c r="A8" s="6" t="s">
        <v>626</v>
      </c>
      <c r="B8" s="7" t="n">
        <f aca="false">'Operations &amp; Capacity'!$B$6</f>
        <v>300</v>
      </c>
      <c r="C8" s="6" t="s">
        <v>624</v>
      </c>
      <c r="D8" s="10" t="n">
        <f aca="false">Inputs!$B$43*Inputs!$B$45</f>
        <v>15375</v>
      </c>
      <c r="E8" s="6" t="s">
        <v>159</v>
      </c>
      <c r="F8" s="32" t="n">
        <f aca="false">B8*D8</f>
        <v>4612500</v>
      </c>
      <c r="G8" s="6" t="s">
        <v>3</v>
      </c>
      <c r="H8" s="6" t="s">
        <v>66</v>
      </c>
      <c r="I8" s="6" t="s">
        <v>627</v>
      </c>
    </row>
    <row r="9" customFormat="false" ht="15" hidden="false" customHeight="false" outlineLevel="0" collapsed="false">
      <c r="A9" s="6" t="s">
        <v>628</v>
      </c>
      <c r="B9" s="7" t="n">
        <f aca="false">'Operations &amp; Capacity'!$E$36</f>
        <v>300</v>
      </c>
      <c r="C9" s="6" t="s">
        <v>629</v>
      </c>
      <c r="D9" s="10" t="n">
        <f aca="false">Inputs!$B$44*Inputs!$B$45</f>
        <v>6150</v>
      </c>
      <c r="E9" s="6" t="s">
        <v>159</v>
      </c>
      <c r="F9" s="32" t="n">
        <f aca="false">B9*D9</f>
        <v>1845000</v>
      </c>
      <c r="G9" s="6" t="s">
        <v>3</v>
      </c>
      <c r="H9" s="6" t="s">
        <v>66</v>
      </c>
      <c r="I9" s="6" t="s">
        <v>627</v>
      </c>
    </row>
    <row r="10" customFormat="false" ht="15" hidden="false" customHeight="false" outlineLevel="0" collapsed="false">
      <c r="A10" s="6" t="s">
        <v>630</v>
      </c>
      <c r="B10" s="7" t="n">
        <f aca="false">'Operations &amp; Capacity'!$E$16*1000</f>
        <v>7029473.68421053</v>
      </c>
      <c r="C10" s="6" t="s">
        <v>631</v>
      </c>
      <c r="D10" s="10" t="n">
        <f aca="false">Inputs!$B$65+Inputs!$B$66</f>
        <v>0.45</v>
      </c>
      <c r="E10" s="6" t="s">
        <v>124</v>
      </c>
      <c r="F10" s="32" t="n">
        <f aca="false">B10*D10</f>
        <v>3163263.15789474</v>
      </c>
      <c r="G10" s="6" t="s">
        <v>3</v>
      </c>
      <c r="H10" s="6" t="s">
        <v>632</v>
      </c>
      <c r="I10" s="6"/>
    </row>
    <row r="11" customFormat="false" ht="15" hidden="false" customHeight="false" outlineLevel="0" collapsed="false">
      <c r="A11" s="6" t="s">
        <v>633</v>
      </c>
      <c r="B11" s="7" t="n">
        <f aca="false">Inputs!$B$8</f>
        <v>300</v>
      </c>
      <c r="C11" s="6" t="s">
        <v>624</v>
      </c>
      <c r="D11" s="10" t="n">
        <f aca="false">Inputs!$B$49*Inputs!$B$50*Inputs!$B$51*Inputs!$B$48</f>
        <v>1530</v>
      </c>
      <c r="E11" s="6" t="s">
        <v>159</v>
      </c>
      <c r="F11" s="32" t="n">
        <f aca="false">B11*D11</f>
        <v>459000</v>
      </c>
      <c r="G11" s="6" t="s">
        <v>3</v>
      </c>
      <c r="H11" s="6" t="s">
        <v>74</v>
      </c>
      <c r="I11" s="6"/>
    </row>
    <row r="12" customFormat="false" ht="15" hidden="false" customHeight="false" outlineLevel="0" collapsed="false">
      <c r="A12" s="6" t="s">
        <v>634</v>
      </c>
      <c r="B12" s="7" t="n">
        <f aca="false">'Operations &amp; Capacity'!$E$18</f>
        <v>6304.92631578947</v>
      </c>
      <c r="C12" s="6" t="s">
        <v>635</v>
      </c>
      <c r="D12" s="10" t="n">
        <f aca="false">Inputs!$B$52*Inputs!$B$48</f>
        <v>170</v>
      </c>
      <c r="E12" s="6" t="s">
        <v>636</v>
      </c>
      <c r="F12" s="32" t="n">
        <f aca="false">B12*D12</f>
        <v>1071837.47368421</v>
      </c>
      <c r="G12" s="6" t="s">
        <v>4</v>
      </c>
      <c r="H12" s="6" t="s">
        <v>85</v>
      </c>
      <c r="I12" s="6"/>
    </row>
    <row r="13" customFormat="false" ht="15" hidden="false" customHeight="false" outlineLevel="0" collapsed="false">
      <c r="A13" s="6" t="s">
        <v>637</v>
      </c>
      <c r="B13" s="7" t="n">
        <f aca="false">Inputs!$B$9</f>
        <v>300</v>
      </c>
      <c r="C13" s="6" t="s">
        <v>624</v>
      </c>
      <c r="D13" s="10" t="n">
        <f aca="false">Inputs!$B$13*Inputs!$B$53*Inputs!$B$48</f>
        <v>255</v>
      </c>
      <c r="E13" s="6" t="s">
        <v>159</v>
      </c>
      <c r="F13" s="32" t="n">
        <f aca="false">B13*D13</f>
        <v>76500</v>
      </c>
      <c r="G13" s="6" t="s">
        <v>4</v>
      </c>
      <c r="H13" s="6" t="s">
        <v>74</v>
      </c>
      <c r="I13" s="6"/>
    </row>
    <row r="14" customFormat="false" ht="15" hidden="false" customHeight="false" outlineLevel="0" collapsed="false">
      <c r="A14" s="6" t="s">
        <v>638</v>
      </c>
      <c r="B14" s="7" t="n">
        <f aca="false">Inputs!$B$10</f>
        <v>330</v>
      </c>
      <c r="C14" s="6" t="s">
        <v>624</v>
      </c>
      <c r="D14" s="10" t="n">
        <f aca="false">Inputs!$B$16*Inputs!$B$54*Inputs!$B$48</f>
        <v>2550</v>
      </c>
      <c r="E14" s="6" t="s">
        <v>159</v>
      </c>
      <c r="F14" s="32" t="n">
        <f aca="false">B14*D14</f>
        <v>841500</v>
      </c>
      <c r="G14" s="6" t="s">
        <v>5</v>
      </c>
      <c r="H14" s="6" t="s">
        <v>85</v>
      </c>
      <c r="I14" s="6" t="s">
        <v>639</v>
      </c>
    </row>
    <row r="15" customFormat="false" ht="15" hidden="false" customHeight="false" outlineLevel="0" collapsed="false">
      <c r="A15" s="3" t="s">
        <v>640</v>
      </c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6" t="s">
        <v>641</v>
      </c>
      <c r="B16" s="20" t="n">
        <v>1</v>
      </c>
      <c r="C16" s="6" t="s">
        <v>642</v>
      </c>
      <c r="D16" s="10" t="n">
        <f aca="false">60000*12*(1+Inputs!$B$46)</f>
        <v>813600</v>
      </c>
      <c r="E16" s="6" t="s">
        <v>643</v>
      </c>
      <c r="F16" s="32" t="n">
        <f aca="false">B16*D16</f>
        <v>813600</v>
      </c>
      <c r="G16" s="6" t="s">
        <v>3</v>
      </c>
      <c r="H16" s="6" t="s">
        <v>74</v>
      </c>
      <c r="I16" s="6"/>
    </row>
    <row r="17" customFormat="false" ht="15" hidden="false" customHeight="false" outlineLevel="0" collapsed="false">
      <c r="A17" s="6" t="s">
        <v>644</v>
      </c>
      <c r="B17" s="20" t="n">
        <v>1</v>
      </c>
      <c r="C17" s="6" t="s">
        <v>642</v>
      </c>
      <c r="D17" s="10" t="n">
        <f aca="false">35000*12*(1+Inputs!$B$46)</f>
        <v>474600</v>
      </c>
      <c r="E17" s="6" t="s">
        <v>643</v>
      </c>
      <c r="F17" s="32" t="n">
        <f aca="false">B17*D17</f>
        <v>474600</v>
      </c>
      <c r="G17" s="6" t="s">
        <v>3</v>
      </c>
      <c r="H17" s="6" t="s">
        <v>74</v>
      </c>
      <c r="I17" s="6"/>
    </row>
    <row r="18" customFormat="false" ht="15" hidden="false" customHeight="false" outlineLevel="0" collapsed="false">
      <c r="A18" s="6" t="s">
        <v>645</v>
      </c>
      <c r="B18" s="20" t="n">
        <v>2</v>
      </c>
      <c r="C18" s="6" t="s">
        <v>642</v>
      </c>
      <c r="D18" s="10" t="n">
        <f aca="false">25000*12*(1+Inputs!$B$46)</f>
        <v>339000</v>
      </c>
      <c r="E18" s="6" t="s">
        <v>643</v>
      </c>
      <c r="F18" s="32" t="n">
        <f aca="false">B18*D18</f>
        <v>678000</v>
      </c>
      <c r="G18" s="6" t="s">
        <v>3</v>
      </c>
      <c r="H18" s="6" t="s">
        <v>74</v>
      </c>
      <c r="I18" s="6"/>
    </row>
    <row r="19" customFormat="false" ht="15" hidden="false" customHeight="false" outlineLevel="0" collapsed="false">
      <c r="A19" s="6" t="s">
        <v>646</v>
      </c>
      <c r="B19" s="20" t="n">
        <v>1</v>
      </c>
      <c r="C19" s="6" t="s">
        <v>642</v>
      </c>
      <c r="D19" s="10" t="n">
        <f aca="false">22000*12*(1+Inputs!$B$46)</f>
        <v>298320</v>
      </c>
      <c r="E19" s="6" t="s">
        <v>643</v>
      </c>
      <c r="F19" s="32" t="n">
        <f aca="false">B19*D19</f>
        <v>298320</v>
      </c>
      <c r="G19" s="6" t="s">
        <v>4</v>
      </c>
      <c r="H19" s="6" t="s">
        <v>74</v>
      </c>
      <c r="I19" s="6"/>
    </row>
    <row r="20" customFormat="false" ht="15" hidden="false" customHeight="false" outlineLevel="0" collapsed="false">
      <c r="A20" s="6" t="s">
        <v>647</v>
      </c>
      <c r="B20" s="20" t="n">
        <v>2</v>
      </c>
      <c r="C20" s="6" t="s">
        <v>642</v>
      </c>
      <c r="D20" s="10" t="n">
        <f aca="false">22000*12*(1+Inputs!$B$46)</f>
        <v>298320</v>
      </c>
      <c r="E20" s="6" t="s">
        <v>643</v>
      </c>
      <c r="F20" s="32" t="n">
        <f aca="false">B20*D20</f>
        <v>596640</v>
      </c>
      <c r="G20" s="6" t="s">
        <v>5</v>
      </c>
      <c r="H20" s="6" t="s">
        <v>74</v>
      </c>
      <c r="I20" s="6"/>
    </row>
    <row r="21" customFormat="false" ht="15" hidden="false" customHeight="false" outlineLevel="0" collapsed="false">
      <c r="A21" s="6" t="s">
        <v>648</v>
      </c>
      <c r="B21" s="20" t="n">
        <v>1</v>
      </c>
      <c r="C21" s="6" t="s">
        <v>642</v>
      </c>
      <c r="D21" s="10" t="n">
        <f aca="false">25000*12*(1+Inputs!$B$46)</f>
        <v>339000</v>
      </c>
      <c r="E21" s="6" t="s">
        <v>643</v>
      </c>
      <c r="F21" s="32" t="n">
        <f aca="false">B21*D21</f>
        <v>339000</v>
      </c>
      <c r="G21" s="6" t="s">
        <v>649</v>
      </c>
      <c r="H21" s="6" t="s">
        <v>74</v>
      </c>
      <c r="I21" s="6"/>
    </row>
    <row r="22" customFormat="false" ht="15" hidden="false" customHeight="false" outlineLevel="0" collapsed="false">
      <c r="A22" s="6" t="s">
        <v>650</v>
      </c>
      <c r="B22" s="20" t="n">
        <v>3</v>
      </c>
      <c r="C22" s="6" t="s">
        <v>642</v>
      </c>
      <c r="D22" s="10" t="n">
        <f aca="false">14000*12*(1+Inputs!$B$46)</f>
        <v>189840</v>
      </c>
      <c r="E22" s="6" t="s">
        <v>643</v>
      </c>
      <c r="F22" s="32" t="n">
        <f aca="false">B22*D22</f>
        <v>569520</v>
      </c>
      <c r="G22" s="6" t="s">
        <v>649</v>
      </c>
      <c r="H22" s="6" t="s">
        <v>74</v>
      </c>
      <c r="I22" s="6"/>
    </row>
    <row r="23" customFormat="false" ht="15" hidden="false" customHeight="false" outlineLevel="0" collapsed="false">
      <c r="A23" s="6" t="s">
        <v>651</v>
      </c>
      <c r="B23" s="20" t="n">
        <v>1</v>
      </c>
      <c r="C23" s="6" t="s">
        <v>642</v>
      </c>
      <c r="D23" s="10" t="n">
        <f aca="false">60000*12*(1+Inputs!$B$46)</f>
        <v>813600</v>
      </c>
      <c r="E23" s="6" t="s">
        <v>643</v>
      </c>
      <c r="F23" s="32" t="n">
        <f aca="false">B23*D23</f>
        <v>813600</v>
      </c>
      <c r="G23" s="6" t="s">
        <v>649</v>
      </c>
      <c r="H23" s="6" t="s">
        <v>74</v>
      </c>
      <c r="I23" s="6"/>
    </row>
    <row r="24" customFormat="false" ht="15" hidden="false" customHeight="false" outlineLevel="0" collapsed="false">
      <c r="A24" s="6" t="s">
        <v>652</v>
      </c>
      <c r="B24" s="7" t="n">
        <f aca="false">Inputs!$B$55</f>
        <v>200</v>
      </c>
      <c r="C24" s="6" t="s">
        <v>168</v>
      </c>
      <c r="D24" s="10" t="n">
        <f aca="false">Inputs!$B$56*12</f>
        <v>1800</v>
      </c>
      <c r="E24" s="6" t="s">
        <v>653</v>
      </c>
      <c r="F24" s="32" t="n">
        <f aca="false">B24*D24</f>
        <v>360000</v>
      </c>
      <c r="G24" s="6" t="s">
        <v>649</v>
      </c>
      <c r="H24" s="6" t="s">
        <v>74</v>
      </c>
      <c r="I24" s="6"/>
    </row>
    <row r="25" customFormat="false" ht="15" hidden="false" customHeight="false" outlineLevel="0" collapsed="false">
      <c r="A25" s="6" t="s">
        <v>654</v>
      </c>
      <c r="B25" s="9" t="n">
        <f aca="false">'Packhouse Capex'!$E$10</f>
        <v>12250000</v>
      </c>
      <c r="C25" s="6" t="s">
        <v>655</v>
      </c>
      <c r="D25" s="49" t="n">
        <v>0.02</v>
      </c>
      <c r="E25" s="6" t="s">
        <v>656</v>
      </c>
      <c r="F25" s="32" t="n">
        <f aca="false">B25*D25</f>
        <v>245000</v>
      </c>
      <c r="G25" s="6" t="s">
        <v>3</v>
      </c>
      <c r="H25" s="6" t="s">
        <v>74</v>
      </c>
      <c r="I25" s="6" t="s">
        <v>657</v>
      </c>
    </row>
    <row r="26" customFormat="false" ht="15" hidden="false" customHeight="false" outlineLevel="0" collapsed="false">
      <c r="A26" s="6" t="s">
        <v>658</v>
      </c>
      <c r="B26" s="9" t="n">
        <f aca="false">'Packhouse Capex'!$E$13</f>
        <v>9000000</v>
      </c>
      <c r="C26" s="6" t="s">
        <v>655</v>
      </c>
      <c r="D26" s="49" t="n">
        <v>0.04</v>
      </c>
      <c r="E26" s="6" t="s">
        <v>656</v>
      </c>
      <c r="F26" s="32" t="n">
        <f aca="false">B26*D26</f>
        <v>360000</v>
      </c>
      <c r="G26" s="6" t="s">
        <v>4</v>
      </c>
      <c r="H26" s="6" t="s">
        <v>74</v>
      </c>
      <c r="I26" s="6" t="s">
        <v>657</v>
      </c>
    </row>
    <row r="27" customFormat="false" ht="15" hidden="false" customHeight="false" outlineLevel="0" collapsed="false">
      <c r="A27" s="6" t="s">
        <v>659</v>
      </c>
      <c r="B27" s="9" t="n">
        <f aca="false">'Packhouse Capex'!$E$16</f>
        <v>2200000</v>
      </c>
      <c r="C27" s="6" t="s">
        <v>655</v>
      </c>
      <c r="D27" s="49" t="n">
        <v>0.04</v>
      </c>
      <c r="E27" s="6" t="s">
        <v>656</v>
      </c>
      <c r="F27" s="32" t="n">
        <f aca="false">B27*D27</f>
        <v>88000</v>
      </c>
      <c r="G27" s="6" t="s">
        <v>5</v>
      </c>
      <c r="H27" s="6" t="s">
        <v>74</v>
      </c>
      <c r="I27" s="6" t="s">
        <v>657</v>
      </c>
    </row>
    <row r="28" customFormat="false" ht="15" hidden="false" customHeight="false" outlineLevel="0" collapsed="false">
      <c r="A28" s="6" t="s">
        <v>660</v>
      </c>
      <c r="B28" s="9" t="n">
        <f aca="false">'Packhouse Capex'!$E$23</f>
        <v>4700000</v>
      </c>
      <c r="C28" s="6" t="s">
        <v>655</v>
      </c>
      <c r="D28" s="49" t="n">
        <v>0.02</v>
      </c>
      <c r="E28" s="6" t="s">
        <v>656</v>
      </c>
      <c r="F28" s="32" t="n">
        <f aca="false">B28*D28</f>
        <v>94000</v>
      </c>
      <c r="G28" s="6" t="s">
        <v>649</v>
      </c>
      <c r="H28" s="6" t="s">
        <v>74</v>
      </c>
      <c r="I28" s="6" t="s">
        <v>657</v>
      </c>
    </row>
    <row r="29" customFormat="false" ht="15" hidden="false" customHeight="false" outlineLevel="0" collapsed="false">
      <c r="A29" s="6" t="s">
        <v>661</v>
      </c>
      <c r="B29" s="9" t="n">
        <f aca="false">'Packhouse Capex'!$E$25</f>
        <v>29557500</v>
      </c>
      <c r="C29" s="6" t="s">
        <v>655</v>
      </c>
      <c r="D29" s="50" t="n">
        <v>0.0035</v>
      </c>
      <c r="E29" s="6" t="s">
        <v>656</v>
      </c>
      <c r="F29" s="32" t="n">
        <f aca="false">B29*D29</f>
        <v>103451.25</v>
      </c>
      <c r="G29" s="6" t="s">
        <v>649</v>
      </c>
      <c r="H29" s="6" t="s">
        <v>74</v>
      </c>
      <c r="I29" s="6"/>
    </row>
    <row r="30" customFormat="false" ht="15" hidden="false" customHeight="false" outlineLevel="0" collapsed="false">
      <c r="A30" s="6" t="s">
        <v>662</v>
      </c>
      <c r="B30" s="20" t="n">
        <v>1</v>
      </c>
      <c r="C30" s="6" t="s">
        <v>558</v>
      </c>
      <c r="D30" s="23" t="n">
        <v>350000</v>
      </c>
      <c r="E30" s="6" t="s">
        <v>358</v>
      </c>
      <c r="F30" s="32" t="n">
        <f aca="false">B30*D30</f>
        <v>350000</v>
      </c>
      <c r="G30" s="6" t="s">
        <v>649</v>
      </c>
      <c r="H30" s="6" t="s">
        <v>74</v>
      </c>
      <c r="I30" s="6"/>
    </row>
    <row r="31" customFormat="false" ht="15" hidden="false" customHeight="false" outlineLevel="0" collapsed="false">
      <c r="A31" s="6" t="s">
        <v>663</v>
      </c>
      <c r="B31" s="20" t="n">
        <v>4</v>
      </c>
      <c r="C31" s="6" t="s">
        <v>102</v>
      </c>
      <c r="D31" s="10" t="n">
        <f aca="false">Inputs!$B$29</f>
        <v>50000</v>
      </c>
      <c r="E31" s="6" t="s">
        <v>121</v>
      </c>
      <c r="F31" s="32" t="n">
        <f aca="false">B31*D31</f>
        <v>200000</v>
      </c>
      <c r="G31" s="6" t="s">
        <v>649</v>
      </c>
      <c r="H31" s="6" t="s">
        <v>85</v>
      </c>
      <c r="I31" s="6" t="s">
        <v>664</v>
      </c>
    </row>
    <row r="32" customFormat="false" ht="15" hidden="false" customHeight="false" outlineLevel="0" collapsed="false">
      <c r="A32" s="6" t="s">
        <v>665</v>
      </c>
      <c r="B32" s="20" t="n">
        <v>12</v>
      </c>
      <c r="C32" s="6" t="s">
        <v>113</v>
      </c>
      <c r="D32" s="23" t="n">
        <v>50000</v>
      </c>
      <c r="E32" s="6" t="s">
        <v>350</v>
      </c>
      <c r="F32" s="32" t="n">
        <f aca="false">B32*D32</f>
        <v>600000</v>
      </c>
      <c r="G32" s="6" t="s">
        <v>649</v>
      </c>
      <c r="H32" s="6" t="s">
        <v>74</v>
      </c>
      <c r="I32" s="6"/>
    </row>
    <row r="34" customFormat="false" ht="15" hidden="false" customHeight="false" outlineLevel="0" collapsed="false">
      <c r="A34" s="3" t="s">
        <v>666</v>
      </c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A35" s="5" t="s">
        <v>616</v>
      </c>
      <c r="B35" s="5" t="s">
        <v>667</v>
      </c>
      <c r="C35" s="5" t="s">
        <v>551</v>
      </c>
      <c r="D35" s="5" t="s">
        <v>668</v>
      </c>
      <c r="E35" s="5" t="s">
        <v>669</v>
      </c>
      <c r="F35" s="5" t="s">
        <v>670</v>
      </c>
      <c r="G35" s="5" t="s">
        <v>671</v>
      </c>
    </row>
    <row r="36" customFormat="false" ht="15" hidden="false" customHeight="false" outlineLevel="0" collapsed="false">
      <c r="A36" s="12" t="s">
        <v>621</v>
      </c>
      <c r="B36" s="32" t="n">
        <f aca="false">SUMIF($G$5:$G$32,"Harvest",$F$5:$F$32)</f>
        <v>5684210.52631579</v>
      </c>
      <c r="C36" s="18" t="n">
        <v>0</v>
      </c>
      <c r="D36" s="18" t="n">
        <v>0</v>
      </c>
      <c r="E36" s="32" t="n">
        <f aca="false">B36+C36+D36</f>
        <v>5684210.52631579</v>
      </c>
      <c r="F36" s="7" t="n">
        <f aca="false">'Farm Plan'!$D$40</f>
        <v>5684.21052631579</v>
      </c>
      <c r="G36" s="51" t="n">
        <f aca="false">IF(F36=0,0,E36/(F36*1000))</f>
        <v>1</v>
      </c>
    </row>
    <row r="37" customFormat="false" ht="15" hidden="false" customHeight="false" outlineLevel="0" collapsed="false">
      <c r="A37" s="12" t="s">
        <v>3</v>
      </c>
      <c r="B37" s="32" t="n">
        <f aca="false">SUMIF($G$5:$G$32,"Packhouse",$F$5:$F$32)</f>
        <v>14210963.1578947</v>
      </c>
      <c r="C37" s="9" t="n">
        <f aca="false">'Packhouse Capex'!$J$10</f>
        <v>1099642.85714286</v>
      </c>
      <c r="D37" s="9" t="n">
        <f aca="false">'Packhouse Capex'!$B$35*('Packhouse Capex'!$E$10)/'Packhouse Capex'!$E$25</f>
        <v>333467.120484817</v>
      </c>
      <c r="E37" s="32" t="n">
        <f aca="false">B37+C37+D37</f>
        <v>15644073.1355224</v>
      </c>
      <c r="F37" s="7" t="n">
        <f aca="false">'Operations &amp; Capacity'!$E$11</f>
        <v>7484.21052631579</v>
      </c>
      <c r="G37" s="51" t="n">
        <f aca="false">IF(F37=0,0,E37/(F37*1000))</f>
        <v>2.09027700123014</v>
      </c>
    </row>
    <row r="38" customFormat="false" ht="15" hidden="false" customHeight="false" outlineLevel="0" collapsed="false">
      <c r="A38" s="12" t="s">
        <v>4</v>
      </c>
      <c r="B38" s="32" t="n">
        <f aca="false">SUMIF($G$5:$G$32,"Pre-cooling",$F$5:$F$32)</f>
        <v>1806657.47368421</v>
      </c>
      <c r="C38" s="9" t="n">
        <f aca="false">'Packhouse Capex'!$J$13</f>
        <v>900000</v>
      </c>
      <c r="D38" s="9" t="n">
        <f aca="false">'Packhouse Capex'!$B$35*('Packhouse Capex'!$E$13)/'Packhouse Capex'!$E$25</f>
        <v>244996.251784764</v>
      </c>
      <c r="E38" s="32" t="n">
        <f aca="false">B38+C38+D38</f>
        <v>2951653.72546897</v>
      </c>
      <c r="F38" s="7" t="n">
        <f aca="false">'Operations &amp; Capacity'!$E$18</f>
        <v>6304.92631578947</v>
      </c>
      <c r="G38" s="51" t="n">
        <f aca="false">IF(F38=0,0,E38/(F38*1000))</f>
        <v>0.468150391873276</v>
      </c>
    </row>
    <row r="39" customFormat="false" ht="15" hidden="false" customHeight="false" outlineLevel="0" collapsed="false">
      <c r="A39" s="12" t="s">
        <v>5</v>
      </c>
      <c r="B39" s="32" t="n">
        <f aca="false">SUMIF($G$5:$G$32,"Cold storage",$F$5:$F$32)</f>
        <v>1526140</v>
      </c>
      <c r="C39" s="9" t="n">
        <f aca="false">'Packhouse Capex'!$J$16</f>
        <v>220000</v>
      </c>
      <c r="D39" s="9" t="n">
        <f aca="false">'Packhouse Capex'!$B$35*('Packhouse Capex'!$E$16)/'Packhouse Capex'!$E$25</f>
        <v>59887.9726584978</v>
      </c>
      <c r="E39" s="32" t="n">
        <f aca="false">B39+C39+D39</f>
        <v>1806027.9726585</v>
      </c>
      <c r="F39" s="7" t="n">
        <f aca="false">'Operations &amp; Capacity'!$E$18</f>
        <v>6304.92631578947</v>
      </c>
      <c r="G39" s="51" t="n">
        <f aca="false">IF(F39=0,0,E39/(F39*1000))</f>
        <v>0.286447118047304</v>
      </c>
    </row>
    <row r="40" customFormat="false" ht="15" hidden="false" customHeight="false" outlineLevel="0" collapsed="false">
      <c r="A40" s="12" t="s">
        <v>649</v>
      </c>
      <c r="B40" s="32" t="n">
        <f aca="false">SUMIF($G$5:$G$32,"Common",$F$5:$F$32)</f>
        <v>3429571.25</v>
      </c>
      <c r="C40" s="9" t="n">
        <f aca="false">'Packhouse Capex'!$J$23+'Packhouse Capex'!$J$24</f>
        <v>550750</v>
      </c>
      <c r="D40" s="9" t="n">
        <f aca="false">'Packhouse Capex'!$B$35*('Packhouse Capex'!$E$23+'Packhouse Capex'!$E$24)/'Packhouse Capex'!$E$25</f>
        <v>166257.178641716</v>
      </c>
      <c r="E40" s="32" t="n">
        <f aca="false">B40+C40+D40</f>
        <v>4146578.42864172</v>
      </c>
      <c r="F40" s="7" t="n">
        <f aca="false">'Operations &amp; Capacity'!$E$19</f>
        <v>6210.35242105263</v>
      </c>
      <c r="G40" s="51" t="n">
        <f aca="false">IF(F40=0,0,E40/(F40*1000))</f>
        <v>0.667688103268524</v>
      </c>
    </row>
    <row r="41" customFormat="false" ht="15" hidden="false" customHeight="false" outlineLevel="0" collapsed="false">
      <c r="A41" s="12" t="s">
        <v>672</v>
      </c>
      <c r="B41" s="33" t="n">
        <f aca="false">SUM(B36:B40)</f>
        <v>26657542.4078947</v>
      </c>
      <c r="C41" s="33" t="n">
        <f aca="false">SUM(C36:C40)</f>
        <v>2770392.85714286</v>
      </c>
      <c r="D41" s="33" t="n">
        <f aca="false">SUM(D36:D40)</f>
        <v>804608.523569795</v>
      </c>
      <c r="E41" s="33" t="n">
        <f aca="false">SUM(E36:E40)</f>
        <v>30232543.7886074</v>
      </c>
    </row>
    <row r="43" customFormat="false" ht="30" hidden="false" customHeight="true" outlineLevel="0" collapsed="false">
      <c r="A43" s="16" t="s">
        <v>673</v>
      </c>
      <c r="B43" s="16"/>
      <c r="C43" s="16"/>
      <c r="D43" s="16"/>
      <c r="E43" s="16"/>
      <c r="F43" s="16"/>
      <c r="G43" s="16"/>
      <c r="H43" s="16"/>
      <c r="I43" s="16"/>
    </row>
  </sheetData>
  <mergeCells count="1"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674</v>
      </c>
    </row>
    <row r="2" customFormat="false" ht="15" hidden="false" customHeight="false" outlineLevel="0" collapsed="false">
      <c r="A2" s="2" t="s">
        <v>675</v>
      </c>
    </row>
    <row r="4" customFormat="false" ht="15" hidden="false" customHeight="false" outlineLevel="0" collapsed="false">
      <c r="A4" s="17" t="s">
        <v>676</v>
      </c>
      <c r="B4" s="17" t="s">
        <v>24</v>
      </c>
      <c r="C4" s="17" t="s">
        <v>25</v>
      </c>
      <c r="D4" s="17" t="s">
        <v>15</v>
      </c>
      <c r="E4" s="17" t="s">
        <v>26</v>
      </c>
      <c r="F4" s="17" t="s">
        <v>677</v>
      </c>
    </row>
    <row r="5" customFormat="false" ht="15" hidden="false" customHeight="false" outlineLevel="0" collapsed="false">
      <c r="A5" s="12" t="s">
        <v>27</v>
      </c>
      <c r="B5" s="36" t="n">
        <f aca="false">Inputs!$B$95*Inputs!$B$6/Inputs!$B$62</f>
        <v>51.6923076923077</v>
      </c>
      <c r="C5" s="36" t="n">
        <f aca="false">Inputs!$B$108</f>
        <v>28</v>
      </c>
      <c r="D5" s="36" t="n">
        <f aca="false">Inputs!$B$80</f>
        <v>26</v>
      </c>
      <c r="E5" s="36" t="n">
        <f aca="false">Inputs!$B$90</f>
        <v>120</v>
      </c>
      <c r="F5" s="6" t="s">
        <v>678</v>
      </c>
    </row>
    <row r="6" customFormat="false" ht="15" hidden="false" customHeight="false" outlineLevel="0" collapsed="false">
      <c r="A6" s="3" t="s">
        <v>679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6" t="s">
        <v>680</v>
      </c>
      <c r="B7" s="10" t="n">
        <f aca="false">'Farm Plan'!$D$45*('Operations &amp; Capacity'!$B$11/'Operations &amp; Capacity'!$B$19)</f>
        <v>8.91441589073949</v>
      </c>
      <c r="C7" s="10" t="n">
        <f aca="false">'Farm Plan'!$D$45*('Operations &amp; Capacity'!$B$11/'Operations &amp; Capacity'!$B$19)</f>
        <v>8.91441589073949</v>
      </c>
      <c r="D7" s="10" t="n">
        <f aca="false">(Inputs!$B$77+Inputs!$B$78)/((1-Inputs!$B$79)*(1-Inputs!$B$60))</f>
        <v>14.9976926626673</v>
      </c>
      <c r="E7" s="10" t="n">
        <f aca="false">(Inputs!$B$87+Inputs!$B$88)/((1-Inputs!$B$89)*(1-Inputs!$B$60))</f>
        <v>80.5561686161995</v>
      </c>
      <c r="F7" s="6" t="s">
        <v>681</v>
      </c>
    </row>
    <row r="8" customFormat="false" ht="15" hidden="false" customHeight="false" outlineLevel="0" collapsed="false">
      <c r="A8" s="6" t="s">
        <v>682</v>
      </c>
      <c r="B8" s="10" t="n">
        <f aca="false">'Packhouse Opex'!$G$36*('Operations &amp; Capacity'!$B$11/'Operations &amp; Capacity'!$B$19)</f>
        <v>1.2261212879178</v>
      </c>
      <c r="C8" s="10" t="n">
        <f aca="false">'Packhouse Opex'!$G$36*('Operations &amp; Capacity'!$B$11/'Operations &amp; Capacity'!$B$19)</f>
        <v>1.2261212879178</v>
      </c>
      <c r="D8" s="37" t="n">
        <f aca="false">0</f>
        <v>0</v>
      </c>
      <c r="E8" s="37" t="n">
        <f aca="false">0</f>
        <v>0</v>
      </c>
      <c r="F8" s="6" t="s">
        <v>683</v>
      </c>
    </row>
    <row r="9" customFormat="false" ht="15" hidden="false" customHeight="false" outlineLevel="0" collapsed="false">
      <c r="A9" s="6" t="s">
        <v>684</v>
      </c>
      <c r="B9" s="10" t="n">
        <f aca="false">IF(('Operations &amp; Capacity'!$B$19*1000)=0,0,'Packhouse Opex'!$F$8/('Operations &amp; Capacity'!$B$19*1000))</f>
        <v>0.994946336758299</v>
      </c>
      <c r="C9" s="10" t="n">
        <f aca="false">IF(('Operations &amp; Capacity'!$B$19*1000)=0,0,'Packhouse Opex'!$F$8/('Operations &amp; Capacity'!$B$19*1000))</f>
        <v>0.994946336758299</v>
      </c>
      <c r="D9" s="10" t="n">
        <f aca="false">IF((('Operations &amp; Capacity'!$C$19+'Operations &amp; Capacity'!$D$19)*1000)=0,0,'Packhouse Opex'!$F$9/(('Operations &amp; Capacity'!$C$19+'Operations &amp; Capacity'!$D$19)*1000))</f>
        <v>1.17185713632414</v>
      </c>
      <c r="E9" s="10" t="n">
        <f aca="false">IF((('Operations &amp; Capacity'!$C$19+'Operations &amp; Capacity'!$D$19)*1000)=0,0,'Packhouse Opex'!$F$9/(('Operations &amp; Capacity'!$C$19+'Operations &amp; Capacity'!$D$19)*1000))</f>
        <v>1.17185713632414</v>
      </c>
      <c r="F9" s="6" t="s">
        <v>685</v>
      </c>
    </row>
    <row r="10" customFormat="false" ht="15" hidden="false" customHeight="false" outlineLevel="0" collapsed="false">
      <c r="A10" s="6" t="s">
        <v>686</v>
      </c>
      <c r="B10" s="10" t="n">
        <f aca="false">(('Packhouse Opex'!$B$37-'Packhouse Opex'!$F$8-'Packhouse Opex'!$F$9)/('Operations &amp; Capacity'!$E$19*1000))</f>
        <v>1.24847394032118</v>
      </c>
      <c r="C10" s="10" t="n">
        <f aca="false">(('Packhouse Opex'!$B$37-'Packhouse Opex'!$F$8-'Packhouse Opex'!$F$9)/('Operations &amp; Capacity'!$E$19*1000))</f>
        <v>1.24847394032118</v>
      </c>
      <c r="D10" s="10" t="n">
        <f aca="false">(('Packhouse Opex'!$B$37-'Packhouse Opex'!$F$8-'Packhouse Opex'!$F$9)/('Operations &amp; Capacity'!$E$19*1000))</f>
        <v>1.24847394032118</v>
      </c>
      <c r="E10" s="10" t="n">
        <f aca="false">(('Packhouse Opex'!$B$37-'Packhouse Opex'!$F$8-'Packhouse Opex'!$F$9)/('Operations &amp; Capacity'!$E$19*1000))</f>
        <v>1.24847394032118</v>
      </c>
      <c r="F10" s="6" t="s">
        <v>687</v>
      </c>
    </row>
    <row r="11" customFormat="false" ht="15" hidden="false" customHeight="false" outlineLevel="0" collapsed="false">
      <c r="A11" s="6" t="s">
        <v>688</v>
      </c>
      <c r="B11" s="10" t="n">
        <f aca="false">('Packhouse Opex'!$B$38/('Operations &amp; Capacity'!$E$19*1000))</f>
        <v>0.290910620073633</v>
      </c>
      <c r="C11" s="10" t="n">
        <f aca="false">('Packhouse Opex'!$B$38/('Operations &amp; Capacity'!$E$19*1000))</f>
        <v>0.290910620073633</v>
      </c>
      <c r="D11" s="10" t="n">
        <f aca="false">('Packhouse Opex'!$B$38/('Operations &amp; Capacity'!$E$19*1000))</f>
        <v>0.290910620073633</v>
      </c>
      <c r="E11" s="10" t="n">
        <f aca="false">('Packhouse Opex'!$B$38/('Operations &amp; Capacity'!$E$19*1000))</f>
        <v>0.290910620073633</v>
      </c>
      <c r="F11" s="6" t="s">
        <v>689</v>
      </c>
    </row>
    <row r="12" customFormat="false" ht="15" hidden="false" customHeight="false" outlineLevel="0" collapsed="false">
      <c r="A12" s="6" t="s">
        <v>690</v>
      </c>
      <c r="B12" s="10" t="n">
        <f aca="false">('Packhouse Opex'!$B$39/('Operations &amp; Capacity'!$E$19*1000))</f>
        <v>0.245741287535712</v>
      </c>
      <c r="C12" s="10" t="n">
        <f aca="false">('Packhouse Opex'!$B$39/('Operations &amp; Capacity'!$E$19*1000))</f>
        <v>0.245741287535712</v>
      </c>
      <c r="D12" s="10" t="n">
        <f aca="false">('Packhouse Opex'!$B$39/('Operations &amp; Capacity'!$E$19*1000))</f>
        <v>0.245741287535712</v>
      </c>
      <c r="E12" s="10" t="n">
        <f aca="false">('Packhouse Opex'!$B$39/('Operations &amp; Capacity'!$E$19*1000))</f>
        <v>0.245741287535712</v>
      </c>
      <c r="F12" s="6" t="s">
        <v>691</v>
      </c>
    </row>
    <row r="13" customFormat="false" ht="15" hidden="false" customHeight="false" outlineLevel="0" collapsed="false">
      <c r="A13" s="6" t="s">
        <v>29</v>
      </c>
      <c r="B13" s="10" t="n">
        <f aca="false">(Inputs!$B$67+Inputs!$B$68+Inputs!$B$69+Inputs!$B$70)/Inputs!$B$62</f>
        <v>7.53846153846154</v>
      </c>
      <c r="C13" s="10" t="n">
        <f aca="false">(Inputs!$B$71+Inputs!$B$72+Inputs!$B$73)/Inputs!$B$62</f>
        <v>5.15384615384615</v>
      </c>
      <c r="D13" s="10" t="n">
        <f aca="false">(Inputs!$B$82+Inputs!$B$83)/Inputs!$B$81</f>
        <v>2</v>
      </c>
      <c r="E13" s="10" t="n">
        <f aca="false">(Inputs!$B$92+Inputs!$B$93)/Inputs!$B$91</f>
        <v>11.6666666666667</v>
      </c>
      <c r="F13" s="6" t="s">
        <v>692</v>
      </c>
    </row>
    <row r="14" customFormat="false" ht="15" hidden="false" customHeight="false" outlineLevel="0" collapsed="false">
      <c r="A14" s="6" t="s">
        <v>693</v>
      </c>
      <c r="B14" s="10" t="n">
        <f aca="false">Inputs!$B$99/(Inputs!$B$62*Inputs!$B$63)</f>
        <v>0.699300699300699</v>
      </c>
      <c r="C14" s="37" t="n">
        <f aca="false">0</f>
        <v>0</v>
      </c>
      <c r="D14" s="37" t="n">
        <f aca="false">0</f>
        <v>0</v>
      </c>
      <c r="E14" s="37" t="n">
        <f aca="false">0</f>
        <v>0</v>
      </c>
      <c r="F14" s="6"/>
    </row>
    <row r="15" customFormat="false" ht="23.85" hidden="false" customHeight="false" outlineLevel="0" collapsed="false">
      <c r="A15" s="6" t="s">
        <v>694</v>
      </c>
      <c r="B15" s="10" t="n">
        <f aca="false">Inputs!$B$96/(Inputs!$B$62*Inputs!$B$63)</f>
        <v>2.997002997003</v>
      </c>
      <c r="C15" s="10" t="n">
        <f aca="false">((Inputs!$B$113*Inputs!$B$110+Inputs!$B$114*Inputs!$B$111+Inputs!$B$115*Inputs!$B$112)/Inputs!$B$109)</f>
        <v>4.75555555555556</v>
      </c>
      <c r="D15" s="10" t="n">
        <f aca="false">(Inputs!$B$110+Inputs!$B$111)/2/Inputs!$B$109</f>
        <v>2.83333333333333</v>
      </c>
      <c r="E15" s="10" t="n">
        <f aca="false">((Inputs!$B$113*Inputs!$B$110+Inputs!$B$114*Inputs!$B$111+Inputs!$B$115*Inputs!$B$112)/Inputs!$B$109)</f>
        <v>4.75555555555556</v>
      </c>
      <c r="F15" s="6" t="s">
        <v>695</v>
      </c>
    </row>
    <row r="16" customFormat="false" ht="15" hidden="false" customHeight="false" outlineLevel="0" collapsed="false">
      <c r="A16" s="6" t="s">
        <v>696</v>
      </c>
      <c r="B16" s="10" t="n">
        <f aca="false">(Inputs!$B$97+Inputs!$B$98)/(Inputs!$B$62*Inputs!$B$63)</f>
        <v>2.0979020979021</v>
      </c>
      <c r="C16" s="37" t="n">
        <f aca="false">0</f>
        <v>0</v>
      </c>
      <c r="D16" s="37" t="n">
        <f aca="false">0</f>
        <v>0</v>
      </c>
      <c r="E16" s="37" t="n">
        <f aca="false">0</f>
        <v>0</v>
      </c>
      <c r="F16" s="6"/>
    </row>
    <row r="17" customFormat="false" ht="15" hidden="false" customHeight="false" outlineLevel="0" collapsed="false">
      <c r="A17" s="6" t="s">
        <v>697</v>
      </c>
      <c r="B17" s="10" t="n">
        <f aca="false">Inputs!$B$100*Inputs!$B$6/(Inputs!$B$62*Inputs!$B$63)</f>
        <v>9.59040959040959</v>
      </c>
      <c r="C17" s="37" t="n">
        <f aca="false">0</f>
        <v>0</v>
      </c>
      <c r="D17" s="37" t="n">
        <f aca="false">0</f>
        <v>0</v>
      </c>
      <c r="E17" s="37" t="n">
        <f aca="false">0</f>
        <v>0</v>
      </c>
      <c r="F17" s="6"/>
    </row>
    <row r="18" customFormat="false" ht="15" hidden="false" customHeight="false" outlineLevel="0" collapsed="false">
      <c r="A18" s="6" t="s">
        <v>267</v>
      </c>
      <c r="B18" s="10" t="n">
        <f aca="false">Inputs!$B$101*Inputs!$B$102*Inputs!$B$6/(Inputs!$B$62*Inputs!$B$63)</f>
        <v>19.1808191808192</v>
      </c>
      <c r="C18" s="37" t="n">
        <f aca="false">0</f>
        <v>0</v>
      </c>
      <c r="D18" s="37" t="n">
        <f aca="false">0</f>
        <v>0</v>
      </c>
      <c r="E18" s="37" t="n">
        <f aca="false">0</f>
        <v>0</v>
      </c>
      <c r="F18" s="6" t="s">
        <v>698</v>
      </c>
    </row>
    <row r="19" customFormat="false" ht="15" hidden="false" customHeight="false" outlineLevel="0" collapsed="false">
      <c r="A19" s="6" t="s">
        <v>699</v>
      </c>
      <c r="B19" s="10" t="n">
        <f aca="false">B5*(Inputs!$B$103+Inputs!$B$104+Inputs!$B$105-N(Inputs!$B$106))</f>
        <v>2.09353846153846</v>
      </c>
      <c r="C19" s="10" t="n">
        <f aca="false">C5*(Inputs!$B$116+Inputs!$B$121*Inputs!$B$117/365)</f>
        <v>1.20246575342466</v>
      </c>
      <c r="D19" s="10" t="n">
        <f aca="false">D5*(Inputs!$B$116+Inputs!$B$121*Inputs!$B$117/365)</f>
        <v>1.11657534246575</v>
      </c>
      <c r="E19" s="10" t="n">
        <f aca="false">E5*(Inputs!$B$116+Inputs!$B$121*Inputs!$B$117/365)</f>
        <v>5.15342465753425</v>
      </c>
      <c r="F19" s="6" t="s">
        <v>700</v>
      </c>
    </row>
    <row r="20" customFormat="false" ht="15" hidden="false" customHeight="false" outlineLevel="0" collapsed="false">
      <c r="A20" s="12" t="s">
        <v>701</v>
      </c>
      <c r="B20" s="52" t="n">
        <f aca="false">SUM(B7:B19)</f>
        <v>57.1180439287807</v>
      </c>
      <c r="C20" s="52" t="n">
        <f aca="false">SUM(C7:C19)</f>
        <v>24.0324768261725</v>
      </c>
      <c r="D20" s="52" t="n">
        <f aca="false">SUM(D7:D19)</f>
        <v>23.904584322721</v>
      </c>
      <c r="E20" s="52" t="n">
        <f aca="false">SUM(E7:E19)</f>
        <v>105.088798480211</v>
      </c>
      <c r="F20" s="6"/>
    </row>
    <row r="21" customFormat="false" ht="15" hidden="false" customHeight="false" outlineLevel="0" collapsed="false">
      <c r="A21" s="12" t="s">
        <v>702</v>
      </c>
      <c r="B21" s="53" t="n">
        <f aca="false">B5-B20</f>
        <v>-5.42573623647299</v>
      </c>
      <c r="C21" s="53" t="n">
        <f aca="false">C5-C20</f>
        <v>3.96752317382752</v>
      </c>
      <c r="D21" s="53" t="n">
        <f aca="false">D5-D20</f>
        <v>2.09541567727897</v>
      </c>
      <c r="E21" s="53" t="n">
        <f aca="false">E5-E20</f>
        <v>14.9112015197894</v>
      </c>
      <c r="F21" s="6"/>
    </row>
    <row r="22" customFormat="false" ht="15" hidden="false" customHeight="false" outlineLevel="0" collapsed="false">
      <c r="A22" s="3" t="s">
        <v>703</v>
      </c>
      <c r="B22" s="4"/>
      <c r="C22" s="4"/>
      <c r="D22" s="4"/>
      <c r="E22" s="4"/>
      <c r="F22" s="4"/>
    </row>
    <row r="23" customFormat="false" ht="23.85" hidden="false" customHeight="false" outlineLevel="0" collapsed="false">
      <c r="A23" s="6" t="s">
        <v>704</v>
      </c>
      <c r="B23" s="10" t="n">
        <f aca="false">('Packhouse Opex'!$B$40/('Operations &amp; Capacity'!$E$19*1000))</f>
        <v>0.552234562144011</v>
      </c>
      <c r="C23" s="10" t="n">
        <f aca="false">('Packhouse Opex'!$B$40/('Operations &amp; Capacity'!$E$19*1000))</f>
        <v>0.552234562144011</v>
      </c>
      <c r="D23" s="10" t="n">
        <f aca="false">('Packhouse Opex'!$B$40/('Operations &amp; Capacity'!$E$19*1000))</f>
        <v>0.552234562144011</v>
      </c>
      <c r="E23" s="10" t="n">
        <f aca="false">('Packhouse Opex'!$B$40/('Operations &amp; Capacity'!$E$19*1000))</f>
        <v>0.552234562144011</v>
      </c>
      <c r="F23" s="6" t="s">
        <v>705</v>
      </c>
    </row>
    <row r="24" customFormat="false" ht="15" hidden="false" customHeight="false" outlineLevel="0" collapsed="false">
      <c r="A24" s="6" t="s">
        <v>706</v>
      </c>
      <c r="B24" s="10" t="n">
        <f aca="false">(('Packhouse Opex'!$C$41+'Packhouse Opex'!$D$41)/('Operations &amp; Capacity'!$E$19*1000))</f>
        <v>0.575651933792624</v>
      </c>
      <c r="C24" s="10" t="n">
        <f aca="false">(('Packhouse Opex'!$C$41+'Packhouse Opex'!$D$41)/('Operations &amp; Capacity'!$E$19*1000))</f>
        <v>0.575651933792624</v>
      </c>
      <c r="D24" s="10" t="n">
        <f aca="false">(('Packhouse Opex'!$C$41+'Packhouse Opex'!$D$41)/('Operations &amp; Capacity'!$E$19*1000))</f>
        <v>0.575651933792624</v>
      </c>
      <c r="E24" s="10" t="n">
        <f aca="false">(('Packhouse Opex'!$C$41+'Packhouse Opex'!$D$41)/('Operations &amp; Capacity'!$E$19*1000))</f>
        <v>0.575651933792624</v>
      </c>
      <c r="F24" s="6" t="s">
        <v>707</v>
      </c>
    </row>
    <row r="25" customFormat="false" ht="15" hidden="false" customHeight="false" outlineLevel="0" collapsed="false">
      <c r="A25" s="12" t="s">
        <v>708</v>
      </c>
      <c r="B25" s="52" t="n">
        <f aca="false">B20+B23+B24</f>
        <v>58.2459304247173</v>
      </c>
      <c r="C25" s="52" t="n">
        <f aca="false">C20+C23+C24</f>
        <v>25.1603633221091</v>
      </c>
      <c r="D25" s="52" t="n">
        <f aca="false">D20+D23+D24</f>
        <v>25.0324708186577</v>
      </c>
      <c r="E25" s="52" t="n">
        <f aca="false">E20+E23+E24</f>
        <v>106.216684976147</v>
      </c>
      <c r="F25" s="6"/>
    </row>
    <row r="26" customFormat="false" ht="15" hidden="false" customHeight="false" outlineLevel="0" collapsed="false">
      <c r="A26" s="12" t="s">
        <v>709</v>
      </c>
      <c r="B26" s="53" t="n">
        <f aca="false">B5-B25</f>
        <v>-6.55362273240962</v>
      </c>
      <c r="C26" s="53" t="n">
        <f aca="false">C5-C25</f>
        <v>2.83963667789089</v>
      </c>
      <c r="D26" s="53" t="n">
        <f aca="false">D5-D25</f>
        <v>0.967529181342332</v>
      </c>
      <c r="E26" s="53" t="n">
        <f aca="false">E5-E25</f>
        <v>13.7833150238527</v>
      </c>
      <c r="F26" s="6" t="s">
        <v>710</v>
      </c>
    </row>
    <row r="27" customFormat="false" ht="15" hidden="false" customHeight="false" outlineLevel="0" collapsed="false">
      <c r="A27" s="12" t="s">
        <v>33</v>
      </c>
      <c r="B27" s="54" t="n">
        <f aca="false">IF(B5=0,0,B26/B5)</f>
        <v>-0.126781392144829</v>
      </c>
      <c r="C27" s="54" t="n">
        <f aca="false">IF(C5=0,0,C26/C5)</f>
        <v>0.10141559563896</v>
      </c>
      <c r="D27" s="54" t="n">
        <f aca="false">IF(D5=0,0,D26/D5)</f>
        <v>0.0372126608208589</v>
      </c>
      <c r="E27" s="54" t="n">
        <f aca="false">IF(E5=0,0,E26/E5)</f>
        <v>0.114860958532106</v>
      </c>
    </row>
    <row r="28" customFormat="false" ht="15" hidden="false" customHeight="false" outlineLevel="0" collapsed="false">
      <c r="A28" s="12" t="s">
        <v>711</v>
      </c>
      <c r="B28" s="10" t="n">
        <f aca="false">B26*Inputs!$B$62</f>
        <v>-85.197095521325</v>
      </c>
      <c r="C28" s="10" t="n">
        <f aca="false">C26*Inputs!$B$62</f>
        <v>36.9152768125815</v>
      </c>
      <c r="D28" s="10" t="n">
        <f aca="false">D26*Inputs!$B$81</f>
        <v>9.67529181342332</v>
      </c>
      <c r="E28" s="10" t="n">
        <f aca="false">E26*Inputs!$B$91</f>
        <v>41.3499450715582</v>
      </c>
      <c r="F28" s="6" t="s">
        <v>712</v>
      </c>
    </row>
    <row r="29" customFormat="false" ht="15" hidden="false" customHeight="false" outlineLevel="0" collapsed="false">
      <c r="A29" s="12" t="s">
        <v>713</v>
      </c>
      <c r="B29" s="7" t="n">
        <f aca="false">'Operations &amp; Capacity'!$B$20</f>
        <v>1158.98210526316</v>
      </c>
      <c r="C29" s="7" t="n">
        <f aca="false">'Operations &amp; Capacity'!$B$21</f>
        <v>3476.94631578947</v>
      </c>
      <c r="D29" s="7" t="n">
        <f aca="false">'Operations &amp; Capacity'!$C$19</f>
        <v>1248.192</v>
      </c>
      <c r="E29" s="7" t="n">
        <f aca="false">'Operations &amp; Capacity'!$D$19</f>
        <v>326.232</v>
      </c>
    </row>
    <row r="30" customFormat="false" ht="15" hidden="false" customHeight="false" outlineLevel="0" collapsed="false">
      <c r="A30" s="12" t="s">
        <v>34</v>
      </c>
      <c r="B30" s="33" t="n">
        <f aca="false">B26*B29*1000</f>
        <v>-7595531.47150859</v>
      </c>
      <c r="C30" s="33" t="n">
        <f aca="false">C26*C29*1000</f>
        <v>9873264.28537338</v>
      </c>
      <c r="D30" s="33" t="n">
        <f aca="false">D26*D29*1000</f>
        <v>1207662.18391805</v>
      </c>
      <c r="E30" s="33" t="n">
        <f aca="false">E26*E29*1000</f>
        <v>4496558.42686152</v>
      </c>
    </row>
    <row r="31" customFormat="false" ht="15" hidden="false" customHeight="false" outlineLevel="0" collapsed="false">
      <c r="A31" s="6" t="s">
        <v>714</v>
      </c>
      <c r="B31" s="55" t="n">
        <f aca="false">B25*Inputs!$B$62/Inputs!$B$6</f>
        <v>7.8874697450138</v>
      </c>
    </row>
    <row r="32" customFormat="false" ht="15" hidden="false" customHeight="false" outlineLevel="0" collapsed="false">
      <c r="A32" s="12" t="s">
        <v>715</v>
      </c>
      <c r="B32" s="37" t="n">
        <f aca="false">B25</f>
        <v>58.2459304247173</v>
      </c>
      <c r="C32" s="37" t="n">
        <f aca="false">C25</f>
        <v>25.1603633221091</v>
      </c>
      <c r="D32" s="37" t="n">
        <f aca="false">D25</f>
        <v>25.0324708186577</v>
      </c>
      <c r="E32" s="37" t="n">
        <f aca="false">E25</f>
        <v>106.216684976147</v>
      </c>
    </row>
    <row r="33" customFormat="false" ht="23.85" hidden="false" customHeight="false" outlineLevel="0" collapsed="false">
      <c r="A33" s="12" t="s">
        <v>716</v>
      </c>
      <c r="B33" s="55" t="n">
        <f aca="false">(('Farm Plan'!$D$47*('Operations &amp; Capacity'!$B$11/'Operations &amp; Capacity'!$B$19))+B25-B7-B8-B19)/(1-(Inputs!$B$103+Inputs!$B$104+Inputs!$B$105-N(Inputs!$B$106)))*Inputs!$B$62/Inputs!$B$6</f>
        <v>8.82988533772314</v>
      </c>
      <c r="C33" s="56" t="n">
        <f aca="false">(('Farm Plan'!$D$47*('Operations &amp; Capacity'!$B$11/'Operations &amp; Capacity'!$B$19))+C25-C7-C8-C19)/(1-(Inputs!$B$116+Inputs!$B$121*Inputs!$B$117/365))</f>
        <v>31.7327680199667</v>
      </c>
      <c r="F33" s="6" t="s">
        <v>717</v>
      </c>
    </row>
    <row r="35" customFormat="false" ht="15" hidden="false" customHeight="false" outlineLevel="0" collapsed="false">
      <c r="A35" s="3" t="s">
        <v>718</v>
      </c>
      <c r="B35" s="4"/>
      <c r="C35" s="4"/>
      <c r="D35" s="4"/>
      <c r="E35" s="4"/>
      <c r="F35" s="4"/>
    </row>
    <row r="36" customFormat="false" ht="15" hidden="false" customHeight="false" outlineLevel="0" collapsed="false">
      <c r="A36" s="6" t="s">
        <v>719</v>
      </c>
      <c r="B36" s="37" t="n">
        <f aca="false">B25-B18-B19</f>
        <v>36.9715727823597</v>
      </c>
    </row>
    <row r="37" customFormat="false" ht="15" hidden="false" customHeight="false" outlineLevel="0" collapsed="false">
      <c r="A37" s="6" t="s">
        <v>720</v>
      </c>
      <c r="B37" s="8" t="n">
        <f aca="false">Inputs!$B$103+Inputs!$B$104+Inputs!$B$105-N(Inputs!$B$106)</f>
        <v>0.0405</v>
      </c>
    </row>
    <row r="38" customFormat="false" ht="15" hidden="false" customHeight="false" outlineLevel="0" collapsed="false">
      <c r="A38" s="5" t="s">
        <v>721</v>
      </c>
      <c r="B38" s="29" t="n">
        <v>0</v>
      </c>
      <c r="C38" s="29" t="n">
        <v>1500</v>
      </c>
      <c r="D38" s="29" t="n">
        <v>3000</v>
      </c>
      <c r="E38" s="29" t="n">
        <v>4000</v>
      </c>
      <c r="F38" s="29" t="n">
        <v>4800</v>
      </c>
    </row>
    <row r="39" customFormat="false" ht="15" hidden="false" customHeight="false" outlineLevel="0" collapsed="false">
      <c r="A39" s="28" t="n">
        <v>5</v>
      </c>
      <c r="B39" s="10" t="n">
        <f aca="false">$A39*Inputs!$B$6/Inputs!$B$62*(1-$B$37)-$B$36-B$38*Inputs!$B$6/(Inputs!$B$62*Inputs!$B$63)</f>
        <v>-1.54388047466737</v>
      </c>
      <c r="C39" s="10" t="n">
        <f aca="false">$A39*Inputs!$B$6/Inputs!$B$62*(1-$B$37)-$B$36-C$38*Inputs!$B$6/(Inputs!$B$62*Inputs!$B$63)</f>
        <v>-8.73668766747456</v>
      </c>
      <c r="D39" s="10" t="n">
        <f aca="false">$A39*Inputs!$B$6/Inputs!$B$62*(1-$B$37)-$B$36-D$38*Inputs!$B$6/(Inputs!$B$62*Inputs!$B$63)</f>
        <v>-15.9294948602818</v>
      </c>
      <c r="E39" s="10" t="n">
        <f aca="false">$A39*Inputs!$B$6/Inputs!$B$62*(1-$B$37)-$B$36-E$38*Inputs!$B$6/(Inputs!$B$62*Inputs!$B$63)</f>
        <v>-20.7246996554866</v>
      </c>
      <c r="F39" s="10" t="n">
        <f aca="false">$A39*Inputs!$B$6/Inputs!$B$62*(1-$B$37)-$B$36-F$38*Inputs!$B$6/(Inputs!$B$62*Inputs!$B$63)</f>
        <v>-24.5608634916504</v>
      </c>
    </row>
    <row r="40" customFormat="false" ht="15" hidden="false" customHeight="false" outlineLevel="0" collapsed="false">
      <c r="A40" s="28" t="n">
        <v>5.5</v>
      </c>
      <c r="B40" s="10" t="n">
        <f aca="false">$A40*Inputs!$B$6/Inputs!$B$62*(1-$B$37)-$B$36-B$38*Inputs!$B$6/(Inputs!$B$62*Inputs!$B$63)</f>
        <v>1.99888875610186</v>
      </c>
      <c r="C40" s="10" t="n">
        <f aca="false">$A40*Inputs!$B$6/Inputs!$B$62*(1-$B$37)-$B$36-C$38*Inputs!$B$6/(Inputs!$B$62*Inputs!$B$63)</f>
        <v>-5.19391843670533</v>
      </c>
      <c r="D40" s="10" t="n">
        <f aca="false">$A40*Inputs!$B$6/Inputs!$B$62*(1-$B$37)-$B$36-D$38*Inputs!$B$6/(Inputs!$B$62*Inputs!$B$63)</f>
        <v>-12.3867256295125</v>
      </c>
      <c r="E40" s="10" t="n">
        <f aca="false">$A40*Inputs!$B$6/Inputs!$B$62*(1-$B$37)-$B$36-E$38*Inputs!$B$6/(Inputs!$B$62*Inputs!$B$63)</f>
        <v>-17.1819304247173</v>
      </c>
      <c r="F40" s="10" t="n">
        <f aca="false">$A40*Inputs!$B$6/Inputs!$B$62*(1-$B$37)-$B$36-F$38*Inputs!$B$6/(Inputs!$B$62*Inputs!$B$63)</f>
        <v>-21.0180942608812</v>
      </c>
    </row>
    <row r="41" customFormat="false" ht="15" hidden="false" customHeight="false" outlineLevel="0" collapsed="false">
      <c r="A41" s="28" t="n">
        <v>6</v>
      </c>
      <c r="B41" s="10" t="n">
        <f aca="false">$A41*Inputs!$B$6/Inputs!$B$62*(1-$B$37)-$B$36-B$38*Inputs!$B$6/(Inputs!$B$62*Inputs!$B$63)</f>
        <v>5.54165798687109</v>
      </c>
      <c r="C41" s="10" t="n">
        <f aca="false">$A41*Inputs!$B$6/Inputs!$B$62*(1-$B$37)-$B$36-C$38*Inputs!$B$6/(Inputs!$B$62*Inputs!$B$63)</f>
        <v>-1.6511492059361</v>
      </c>
      <c r="D41" s="10" t="n">
        <f aca="false">$A41*Inputs!$B$6/Inputs!$B$62*(1-$B$37)-$B$36-D$38*Inputs!$B$6/(Inputs!$B$62*Inputs!$B$63)</f>
        <v>-8.84395639874329</v>
      </c>
      <c r="E41" s="10" t="n">
        <f aca="false">$A41*Inputs!$B$6/Inputs!$B$62*(1-$B$37)-$B$36-E$38*Inputs!$B$6/(Inputs!$B$62*Inputs!$B$63)</f>
        <v>-13.6391611939481</v>
      </c>
      <c r="F41" s="10" t="n">
        <f aca="false">$A41*Inputs!$B$6/Inputs!$B$62*(1-$B$37)-$B$36-F$38*Inputs!$B$6/(Inputs!$B$62*Inputs!$B$63)</f>
        <v>-17.4753250301119</v>
      </c>
    </row>
    <row r="42" customFormat="false" ht="15" hidden="false" customHeight="false" outlineLevel="0" collapsed="false">
      <c r="A42" s="28" t="n">
        <v>6.5</v>
      </c>
      <c r="B42" s="10" t="n">
        <f aca="false">$A42*Inputs!$B$6/Inputs!$B$62*(1-$B$37)-$B$36-B$38*Inputs!$B$6/(Inputs!$B$62*Inputs!$B$63)</f>
        <v>9.08442721764033</v>
      </c>
      <c r="C42" s="10" t="n">
        <f aca="false">$A42*Inputs!$B$6/Inputs!$B$62*(1-$B$37)-$B$36-C$38*Inputs!$B$6/(Inputs!$B$62*Inputs!$B$63)</f>
        <v>1.89162002483313</v>
      </c>
      <c r="D42" s="10" t="n">
        <f aca="false">$A42*Inputs!$B$6/Inputs!$B$62*(1-$B$37)-$B$36-D$38*Inputs!$B$6/(Inputs!$B$62*Inputs!$B$63)</f>
        <v>-5.30118716797406</v>
      </c>
      <c r="E42" s="10" t="n">
        <f aca="false">$A42*Inputs!$B$6/Inputs!$B$62*(1-$B$37)-$B$36-E$38*Inputs!$B$6/(Inputs!$B$62*Inputs!$B$63)</f>
        <v>-10.0963919631789</v>
      </c>
      <c r="F42" s="10" t="n">
        <f aca="false">$A42*Inputs!$B$6/Inputs!$B$62*(1-$B$37)-$B$36-F$38*Inputs!$B$6/(Inputs!$B$62*Inputs!$B$63)</f>
        <v>-13.9325557993427</v>
      </c>
    </row>
    <row r="43" customFormat="false" ht="15" hidden="false" customHeight="false" outlineLevel="0" collapsed="false">
      <c r="A43" s="28" t="n">
        <v>7</v>
      </c>
      <c r="B43" s="10" t="n">
        <f aca="false">$A43*Inputs!$B$6/Inputs!$B$62*(1-$B$37)-$B$36-B$38*Inputs!$B$6/(Inputs!$B$62*Inputs!$B$63)</f>
        <v>12.6271964484096</v>
      </c>
      <c r="C43" s="10" t="n">
        <f aca="false">$A43*Inputs!$B$6/Inputs!$B$62*(1-$B$37)-$B$36-C$38*Inputs!$B$6/(Inputs!$B$62*Inputs!$B$63)</f>
        <v>5.43438925560237</v>
      </c>
      <c r="D43" s="10" t="n">
        <f aca="false">$A43*Inputs!$B$6/Inputs!$B$62*(1-$B$37)-$B$36-D$38*Inputs!$B$6/(Inputs!$B$62*Inputs!$B$63)</f>
        <v>-1.75841793720482</v>
      </c>
      <c r="E43" s="10" t="n">
        <f aca="false">$A43*Inputs!$B$6/Inputs!$B$62*(1-$B$37)-$B$36-E$38*Inputs!$B$6/(Inputs!$B$62*Inputs!$B$63)</f>
        <v>-6.55362273240962</v>
      </c>
      <c r="F43" s="10" t="n">
        <f aca="false">$A43*Inputs!$B$6/Inputs!$B$62*(1-$B$37)-$B$36-F$38*Inputs!$B$6/(Inputs!$B$62*Inputs!$B$63)</f>
        <v>-10.3897865685735</v>
      </c>
    </row>
    <row r="44" customFormat="false" ht="15" hidden="false" customHeight="false" outlineLevel="0" collapsed="false">
      <c r="A44" s="28" t="n">
        <v>7.5</v>
      </c>
      <c r="B44" s="10" t="n">
        <f aca="false">$A44*Inputs!$B$6/Inputs!$B$62*(1-$B$37)-$B$36-B$38*Inputs!$B$6/(Inputs!$B$62*Inputs!$B$63)</f>
        <v>16.1699656791788</v>
      </c>
      <c r="C44" s="10" t="n">
        <f aca="false">$A44*Inputs!$B$6/Inputs!$B$62*(1-$B$37)-$B$36-C$38*Inputs!$B$6/(Inputs!$B$62*Inputs!$B$63)</f>
        <v>8.9771584863716</v>
      </c>
      <c r="D44" s="10" t="n">
        <f aca="false">$A44*Inputs!$B$6/Inputs!$B$62*(1-$B$37)-$B$36-D$38*Inputs!$B$6/(Inputs!$B$62*Inputs!$B$63)</f>
        <v>1.78435129356441</v>
      </c>
      <c r="E44" s="10" t="n">
        <f aca="false">$A44*Inputs!$B$6/Inputs!$B$62*(1-$B$37)-$B$36-E$38*Inputs!$B$6/(Inputs!$B$62*Inputs!$B$63)</f>
        <v>-3.01085350164039</v>
      </c>
      <c r="F44" s="10" t="n">
        <f aca="false">$A44*Inputs!$B$6/Inputs!$B$62*(1-$B$37)-$B$36-F$38*Inputs!$B$6/(Inputs!$B$62*Inputs!$B$63)</f>
        <v>-6.84701733780422</v>
      </c>
    </row>
    <row r="45" customFormat="false" ht="15" hidden="false" customHeight="false" outlineLevel="0" collapsed="false">
      <c r="A45" s="28" t="n">
        <v>8</v>
      </c>
      <c r="B45" s="10" t="n">
        <f aca="false">$A45*Inputs!$B$6/Inputs!$B$62*(1-$B$37)-$B$36-B$38*Inputs!$B$6/(Inputs!$B$62*Inputs!$B$63)</f>
        <v>19.712734909948</v>
      </c>
      <c r="C45" s="10" t="n">
        <f aca="false">$A45*Inputs!$B$6/Inputs!$B$62*(1-$B$37)-$B$36-C$38*Inputs!$B$6/(Inputs!$B$62*Inputs!$B$63)</f>
        <v>12.5199277171408</v>
      </c>
      <c r="D45" s="10" t="n">
        <f aca="false">$A45*Inputs!$B$6/Inputs!$B$62*(1-$B$37)-$B$36-D$38*Inputs!$B$6/(Inputs!$B$62*Inputs!$B$63)</f>
        <v>5.32712052433364</v>
      </c>
      <c r="E45" s="10" t="n">
        <f aca="false">$A45*Inputs!$B$6/Inputs!$B$62*(1-$B$37)-$B$36-E$38*Inputs!$B$6/(Inputs!$B$62*Inputs!$B$63)</f>
        <v>0.531915729128844</v>
      </c>
      <c r="F45" s="10" t="n">
        <f aca="false">$A45*Inputs!$B$6/Inputs!$B$62*(1-$B$37)-$B$36-F$38*Inputs!$B$6/(Inputs!$B$62*Inputs!$B$63)</f>
        <v>-3.30424810703499</v>
      </c>
    </row>
    <row r="46" customFormat="false" ht="15" hidden="false" customHeight="false" outlineLevel="0" collapsed="false">
      <c r="A46" s="28" t="n">
        <v>9</v>
      </c>
      <c r="B46" s="10" t="n">
        <f aca="false">$A46*Inputs!$B$6/Inputs!$B$62*(1-$B$37)-$B$36-B$38*Inputs!$B$6/(Inputs!$B$62*Inputs!$B$63)</f>
        <v>26.7982733714865</v>
      </c>
      <c r="C46" s="10" t="n">
        <f aca="false">$A46*Inputs!$B$6/Inputs!$B$62*(1-$B$37)-$B$36-C$38*Inputs!$B$6/(Inputs!$B$62*Inputs!$B$63)</f>
        <v>19.6054661786793</v>
      </c>
      <c r="D46" s="10" t="n">
        <f aca="false">$A46*Inputs!$B$6/Inputs!$B$62*(1-$B$37)-$B$36-D$38*Inputs!$B$6/(Inputs!$B$62*Inputs!$B$63)</f>
        <v>12.4126589858721</v>
      </c>
      <c r="E46" s="10" t="n">
        <f aca="false">$A46*Inputs!$B$6/Inputs!$B$62*(1-$B$37)-$B$36-E$38*Inputs!$B$6/(Inputs!$B$62*Inputs!$B$63)</f>
        <v>7.61745419066731</v>
      </c>
      <c r="F46" s="10" t="n">
        <f aca="false">$A46*Inputs!$B$6/Inputs!$B$62*(1-$B$37)-$B$36-F$38*Inputs!$B$6/(Inputs!$B$62*Inputs!$B$63)</f>
        <v>3.78129035450347</v>
      </c>
    </row>
    <row r="48" customFormat="false" ht="15" hidden="false" customHeight="false" outlineLevel="0" collapsed="false">
      <c r="A48" s="3" t="s">
        <v>722</v>
      </c>
      <c r="B48" s="4"/>
      <c r="C48" s="4"/>
      <c r="D48" s="4"/>
      <c r="E48" s="4"/>
      <c r="F48" s="4"/>
    </row>
    <row r="49" customFormat="false" ht="15" hidden="false" customHeight="false" outlineLevel="0" collapsed="false">
      <c r="A49" s="12" t="s">
        <v>723</v>
      </c>
      <c r="B49" s="18" t="n">
        <v>22</v>
      </c>
      <c r="C49" s="18" t="n">
        <v>24</v>
      </c>
      <c r="D49" s="18" t="n">
        <v>26</v>
      </c>
      <c r="E49" s="18" t="n">
        <v>28</v>
      </c>
      <c r="F49" s="18" t="n">
        <v>30</v>
      </c>
      <c r="G49" s="18" t="n">
        <v>32</v>
      </c>
      <c r="H49" s="18" t="n">
        <v>34</v>
      </c>
    </row>
    <row r="50" customFormat="false" ht="15" hidden="false" customHeight="false" outlineLevel="0" collapsed="false">
      <c r="A50" s="6" t="s">
        <v>724</v>
      </c>
      <c r="B50" s="10" t="n">
        <f aca="false">B49*(1-(Inputs!$B$116+Inputs!$B$121*Inputs!$B$117/365))-(C$25-C$19)</f>
        <v>-2.9026920892324</v>
      </c>
      <c r="C50" s="10" t="n">
        <f aca="false">C49*(1-(Inputs!$B$116+Inputs!$B$121*Inputs!$B$117/365))-(C$25-C$19)</f>
        <v>-0.988582500191303</v>
      </c>
      <c r="D50" s="10" t="n">
        <f aca="false">D49*(1-(Inputs!$B$116+Inputs!$B$121*Inputs!$B$117/365))-(C$25-C$19)</f>
        <v>0.925527088849794</v>
      </c>
      <c r="E50" s="10" t="n">
        <f aca="false">E49*(1-(Inputs!$B$116+Inputs!$B$121*Inputs!$B$117/365))-(C$25-C$19)</f>
        <v>2.83963667789089</v>
      </c>
      <c r="F50" s="10" t="n">
        <f aca="false">F49*(1-(Inputs!$B$116+Inputs!$B$121*Inputs!$B$117/365))-(C$25-C$19)</f>
        <v>4.75374626693198</v>
      </c>
      <c r="G50" s="10" t="n">
        <f aca="false">G49*(1-(Inputs!$B$116+Inputs!$B$121*Inputs!$B$117/365))-(C$25-C$19)</f>
        <v>6.66785585597308</v>
      </c>
      <c r="H50" s="10" t="n">
        <f aca="false">H49*(1-(Inputs!$B$116+Inputs!$B$121*Inputs!$B$117/365))-(C$25-C$19)</f>
        <v>8.58196544501417</v>
      </c>
    </row>
    <row r="51" customFormat="false" ht="15" hidden="false" customHeight="false" outlineLevel="0" collapsed="false">
      <c r="A51" s="12" t="s">
        <v>725</v>
      </c>
      <c r="B51" s="18" t="n">
        <v>18</v>
      </c>
      <c r="C51" s="18" t="n">
        <v>20</v>
      </c>
      <c r="D51" s="18" t="n">
        <v>22</v>
      </c>
      <c r="E51" s="18" t="n">
        <v>24</v>
      </c>
      <c r="F51" s="18" t="n">
        <v>26</v>
      </c>
      <c r="G51" s="18" t="n">
        <v>28</v>
      </c>
      <c r="H51" s="18" t="n">
        <v>30</v>
      </c>
    </row>
    <row r="52" customFormat="false" ht="15" hidden="false" customHeight="false" outlineLevel="0" collapsed="false">
      <c r="A52" s="6" t="s">
        <v>724</v>
      </c>
      <c r="B52" s="10" t="n">
        <f aca="false">B51*(1-(Inputs!$B$116+Inputs!$B$121*Inputs!$B$117/365))-(D$25-D$19)</f>
        <v>-6.68890917482205</v>
      </c>
      <c r="C52" s="10" t="n">
        <f aca="false">C51*(1-(Inputs!$B$116+Inputs!$B$121*Inputs!$B$117/365))-(D$25-D$19)</f>
        <v>-4.77479958578095</v>
      </c>
      <c r="D52" s="10" t="n">
        <f aca="false">D51*(1-(Inputs!$B$116+Inputs!$B$121*Inputs!$B$117/365))-(D$25-D$19)</f>
        <v>-2.86068999673986</v>
      </c>
      <c r="E52" s="10" t="n">
        <f aca="false">E51*(1-(Inputs!$B$116+Inputs!$B$121*Inputs!$B$117/365))-(D$25-D$19)</f>
        <v>-0.946580407698761</v>
      </c>
      <c r="F52" s="10" t="n">
        <f aca="false">F51*(1-(Inputs!$B$116+Inputs!$B$121*Inputs!$B$117/365))-(D$25-D$19)</f>
        <v>0.967529181342336</v>
      </c>
      <c r="G52" s="10" t="n">
        <f aca="false">G51*(1-(Inputs!$B$116+Inputs!$B$121*Inputs!$B$117/365))-(D$25-D$19)</f>
        <v>2.88163877038343</v>
      </c>
      <c r="H52" s="10" t="n">
        <f aca="false">H51*(1-(Inputs!$B$116+Inputs!$B$121*Inputs!$B$117/365))-(D$25-D$19)</f>
        <v>4.79574835942453</v>
      </c>
    </row>
    <row r="53" customFormat="false" ht="15" hidden="false" customHeight="false" outlineLevel="0" collapsed="false">
      <c r="A53" s="12" t="s">
        <v>726</v>
      </c>
      <c r="B53" s="18" t="n">
        <v>80</v>
      </c>
      <c r="C53" s="18" t="n">
        <v>90</v>
      </c>
      <c r="D53" s="18" t="n">
        <v>100</v>
      </c>
      <c r="E53" s="18" t="n">
        <v>110</v>
      </c>
      <c r="F53" s="18" t="n">
        <v>120</v>
      </c>
      <c r="G53" s="18" t="n">
        <v>130</v>
      </c>
      <c r="H53" s="18" t="n">
        <v>150</v>
      </c>
    </row>
    <row r="54" customFormat="false" ht="15" hidden="false" customHeight="false" outlineLevel="0" collapsed="false">
      <c r="A54" s="6" t="s">
        <v>724</v>
      </c>
      <c r="B54" s="10" t="n">
        <f aca="false">B53*(1-(Inputs!$B$116+Inputs!$B$121*Inputs!$B$117/365))-(E$25-E$19)</f>
        <v>-24.4988767569692</v>
      </c>
      <c r="C54" s="10" t="n">
        <f aca="false">C53*(1-(Inputs!$B$116+Inputs!$B$121*Inputs!$B$117/365))-(E$25-E$19)</f>
        <v>-14.9283288117637</v>
      </c>
      <c r="D54" s="10" t="n">
        <f aca="false">D53*(1-(Inputs!$B$116+Inputs!$B$121*Inputs!$B$117/365))-(E$25-E$19)</f>
        <v>-5.35778086655823</v>
      </c>
      <c r="E54" s="10" t="n">
        <f aca="false">E53*(1-(Inputs!$B$116+Inputs!$B$121*Inputs!$B$117/365))-(E$25-E$19)</f>
        <v>4.21276707864725</v>
      </c>
      <c r="F54" s="10" t="n">
        <f aca="false">F53*(1-(Inputs!$B$116+Inputs!$B$121*Inputs!$B$117/365))-(E$25-E$19)</f>
        <v>13.7833150238527</v>
      </c>
      <c r="G54" s="10" t="n">
        <f aca="false">G53*(1-(Inputs!$B$116+Inputs!$B$121*Inputs!$B$117/365))-(E$25-E$19)</f>
        <v>23.3538629690582</v>
      </c>
      <c r="H54" s="10" t="n">
        <f aca="false">H53*(1-(Inputs!$B$116+Inputs!$B$121*Inputs!$B$117/365))-(E$25-E$19)</f>
        <v>42.4949588594692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727</v>
      </c>
    </row>
    <row r="2" customFormat="false" ht="15" hidden="false" customHeight="false" outlineLevel="0" collapsed="false">
      <c r="A2" s="2" t="s">
        <v>728</v>
      </c>
    </row>
    <row r="4" customFormat="false" ht="15" hidden="false" customHeight="false" outlineLevel="0" collapsed="false">
      <c r="A4" s="17" t="s">
        <v>316</v>
      </c>
      <c r="B4" s="17" t="s">
        <v>57</v>
      </c>
      <c r="C4" s="17" t="s">
        <v>58</v>
      </c>
      <c r="D4" s="17" t="s">
        <v>61</v>
      </c>
      <c r="E4" s="17" t="s">
        <v>552</v>
      </c>
    </row>
    <row r="5" customFormat="false" ht="15" hidden="false" customHeight="false" outlineLevel="0" collapsed="false">
      <c r="A5" s="3" t="s">
        <v>729</v>
      </c>
      <c r="B5" s="4"/>
      <c r="C5" s="4"/>
      <c r="D5" s="4"/>
      <c r="E5" s="4"/>
    </row>
    <row r="6" customFormat="false" ht="15" hidden="false" customHeight="false" outlineLevel="0" collapsed="false">
      <c r="A6" s="6" t="s">
        <v>730</v>
      </c>
      <c r="B6" s="7" t="n">
        <f aca="false">'Operations &amp; Capacity'!$B$17</f>
        <v>522.947368421053</v>
      </c>
      <c r="C6" s="6" t="s">
        <v>508</v>
      </c>
      <c r="D6" s="6"/>
      <c r="E6" s="6" t="s">
        <v>731</v>
      </c>
    </row>
    <row r="7" customFormat="false" ht="15" hidden="false" customHeight="false" outlineLevel="0" collapsed="false">
      <c r="A7" s="6" t="s">
        <v>732</v>
      </c>
      <c r="B7" s="25" t="n">
        <v>0.8</v>
      </c>
      <c r="C7" s="6" t="s">
        <v>173</v>
      </c>
      <c r="D7" s="6" t="s">
        <v>74</v>
      </c>
      <c r="E7" s="6"/>
    </row>
    <row r="8" customFormat="false" ht="15" hidden="false" customHeight="false" outlineLevel="0" collapsed="false">
      <c r="A8" s="6" t="s">
        <v>733</v>
      </c>
      <c r="B8" s="38" t="n">
        <v>5</v>
      </c>
      <c r="C8" s="6" t="s">
        <v>734</v>
      </c>
      <c r="D8" s="6" t="s">
        <v>66</v>
      </c>
      <c r="E8" s="6" t="s">
        <v>735</v>
      </c>
    </row>
    <row r="9" customFormat="false" ht="15" hidden="false" customHeight="false" outlineLevel="0" collapsed="false">
      <c r="A9" s="6" t="s">
        <v>736</v>
      </c>
      <c r="B9" s="31" t="n">
        <f aca="false">$B$6*$B$7*1000/$B$8</f>
        <v>83671.5789473684</v>
      </c>
      <c r="C9" s="6" t="s">
        <v>737</v>
      </c>
      <c r="D9" s="6"/>
      <c r="E9" s="6"/>
    </row>
    <row r="10" customFormat="false" ht="15" hidden="false" customHeight="false" outlineLevel="0" collapsed="false">
      <c r="A10" s="6" t="s">
        <v>738</v>
      </c>
      <c r="B10" s="18" t="n">
        <v>180</v>
      </c>
      <c r="C10" s="6" t="s">
        <v>124</v>
      </c>
      <c r="D10" s="6" t="s">
        <v>85</v>
      </c>
      <c r="E10" s="6" t="s">
        <v>739</v>
      </c>
    </row>
    <row r="11" customFormat="false" ht="15" hidden="false" customHeight="false" outlineLevel="0" collapsed="false">
      <c r="A11" s="6" t="s">
        <v>740</v>
      </c>
      <c r="B11" s="38" t="n">
        <v>4</v>
      </c>
      <c r="C11" s="6" t="s">
        <v>741</v>
      </c>
      <c r="D11" s="6" t="s">
        <v>74</v>
      </c>
      <c r="E11" s="6"/>
    </row>
    <row r="12" customFormat="false" ht="15" hidden="false" customHeight="false" outlineLevel="0" collapsed="false">
      <c r="A12" s="6" t="s">
        <v>742</v>
      </c>
      <c r="B12" s="18" t="n">
        <v>20</v>
      </c>
      <c r="C12" s="6" t="s">
        <v>743</v>
      </c>
      <c r="D12" s="6" t="s">
        <v>74</v>
      </c>
      <c r="E12" s="6"/>
    </row>
    <row r="13" customFormat="false" ht="15" hidden="false" customHeight="false" outlineLevel="0" collapsed="false">
      <c r="A13" s="6" t="s">
        <v>29</v>
      </c>
      <c r="B13" s="18" t="n">
        <v>8</v>
      </c>
      <c r="C13" s="6" t="s">
        <v>743</v>
      </c>
      <c r="D13" s="6" t="s">
        <v>74</v>
      </c>
      <c r="E13" s="6"/>
    </row>
    <row r="14" customFormat="false" ht="15" hidden="false" customHeight="false" outlineLevel="0" collapsed="false">
      <c r="A14" s="6" t="s">
        <v>744</v>
      </c>
      <c r="B14" s="18" t="n">
        <v>5</v>
      </c>
      <c r="C14" s="6" t="s">
        <v>743</v>
      </c>
      <c r="D14" s="6" t="s">
        <v>74</v>
      </c>
      <c r="E14" s="6"/>
    </row>
    <row r="15" customFormat="false" ht="15" hidden="false" customHeight="false" outlineLevel="0" collapsed="false">
      <c r="A15" s="6" t="s">
        <v>745</v>
      </c>
      <c r="B15" s="18" t="n">
        <v>600000</v>
      </c>
      <c r="C15" s="6" t="s">
        <v>358</v>
      </c>
      <c r="D15" s="6" t="s">
        <v>74</v>
      </c>
      <c r="E15" s="6"/>
    </row>
    <row r="16" customFormat="false" ht="15" hidden="false" customHeight="false" outlineLevel="0" collapsed="false">
      <c r="A16" s="6" t="s">
        <v>746</v>
      </c>
      <c r="B16" s="18" t="n">
        <v>2500000</v>
      </c>
      <c r="C16" s="6" t="s">
        <v>310</v>
      </c>
      <c r="D16" s="6" t="s">
        <v>74</v>
      </c>
      <c r="E16" s="6" t="s">
        <v>747</v>
      </c>
    </row>
    <row r="17" customFormat="false" ht="15" hidden="false" customHeight="false" outlineLevel="0" collapsed="false">
      <c r="A17" s="6" t="s">
        <v>748</v>
      </c>
      <c r="B17" s="20" t="n">
        <v>10</v>
      </c>
      <c r="C17" s="6" t="s">
        <v>312</v>
      </c>
      <c r="D17" s="6" t="s">
        <v>74</v>
      </c>
      <c r="E17" s="6"/>
    </row>
    <row r="18" customFormat="false" ht="15" hidden="false" customHeight="false" outlineLevel="0" collapsed="false">
      <c r="A18" s="6" t="s">
        <v>749</v>
      </c>
      <c r="B18" s="23" t="n">
        <v>8</v>
      </c>
      <c r="C18" s="6" t="s">
        <v>124</v>
      </c>
      <c r="D18" s="6" t="s">
        <v>74</v>
      </c>
      <c r="E18" s="6" t="s">
        <v>750</v>
      </c>
    </row>
    <row r="19" customFormat="false" ht="15" hidden="false" customHeight="false" outlineLevel="0" collapsed="false">
      <c r="A19" s="12" t="s">
        <v>751</v>
      </c>
      <c r="B19" s="34" t="n">
        <f aca="false">$B$9*$B$10</f>
        <v>15060884.2105263</v>
      </c>
      <c r="C19" s="6" t="s">
        <v>358</v>
      </c>
      <c r="D19" s="6"/>
      <c r="E19" s="6"/>
    </row>
    <row r="20" customFormat="false" ht="15" hidden="false" customHeight="false" outlineLevel="0" collapsed="false">
      <c r="A20" s="6" t="s">
        <v>752</v>
      </c>
      <c r="B20" s="9" t="n">
        <f aca="false">$B$9*($B$11*Inputs!$B$48+$B$12+$B$13+$B$14)</f>
        <v>5605995.78947369</v>
      </c>
      <c r="C20" s="6" t="s">
        <v>358</v>
      </c>
      <c r="D20" s="6"/>
      <c r="E20" s="6"/>
    </row>
    <row r="21" customFormat="false" ht="15" hidden="false" customHeight="false" outlineLevel="0" collapsed="false">
      <c r="A21" s="12" t="s">
        <v>40</v>
      </c>
      <c r="B21" s="33" t="n">
        <f aca="false">$B$19-$B$20-$B$15</f>
        <v>8854888.42105264</v>
      </c>
      <c r="C21" s="6" t="s">
        <v>358</v>
      </c>
      <c r="D21" s="6"/>
      <c r="E21" s="6"/>
    </row>
    <row r="22" customFormat="false" ht="15" hidden="false" customHeight="false" outlineLevel="0" collapsed="false">
      <c r="A22" s="6" t="s">
        <v>753</v>
      </c>
      <c r="B22" s="32" t="n">
        <f aca="false">$B$16/$B$17</f>
        <v>250000</v>
      </c>
      <c r="C22" s="6" t="s">
        <v>358</v>
      </c>
      <c r="D22" s="6"/>
      <c r="E22" s="6"/>
    </row>
    <row r="23" customFormat="false" ht="15" hidden="false" customHeight="false" outlineLevel="0" collapsed="false">
      <c r="A23" s="12" t="s">
        <v>754</v>
      </c>
      <c r="B23" s="34" t="n">
        <f aca="false">$B$21-$B$22</f>
        <v>8604888.42105264</v>
      </c>
      <c r="C23" s="6" t="s">
        <v>358</v>
      </c>
      <c r="D23" s="6"/>
      <c r="E23" s="6"/>
    </row>
    <row r="24" customFormat="false" ht="15" hidden="false" customHeight="false" outlineLevel="0" collapsed="false">
      <c r="A24" s="12" t="s">
        <v>755</v>
      </c>
      <c r="B24" s="57" t="n">
        <f aca="false">IF($B$9=0,0,$B$23/$B$9)</f>
        <v>102.84123389694</v>
      </c>
      <c r="C24" s="6" t="s">
        <v>124</v>
      </c>
      <c r="D24" s="6"/>
      <c r="E24" s="6"/>
    </row>
    <row r="25" customFormat="false" ht="15" hidden="false" customHeight="false" outlineLevel="0" collapsed="false">
      <c r="A25" s="6" t="s">
        <v>756</v>
      </c>
      <c r="B25" s="32" t="n">
        <f aca="false">$B$23-$B$6*$B$7*1000*$B$18</f>
        <v>5258025.2631579</v>
      </c>
      <c r="C25" s="6" t="s">
        <v>358</v>
      </c>
      <c r="D25" s="6"/>
      <c r="E25" s="6"/>
    </row>
    <row r="26" customFormat="false" ht="15" hidden="false" customHeight="false" outlineLevel="0" collapsed="false">
      <c r="A26" s="3" t="s">
        <v>757</v>
      </c>
      <c r="B26" s="4"/>
      <c r="C26" s="4"/>
      <c r="D26" s="4"/>
      <c r="E26" s="4"/>
    </row>
    <row r="27" customFormat="false" ht="15" hidden="false" customHeight="false" outlineLevel="0" collapsed="false">
      <c r="A27" s="6" t="s">
        <v>758</v>
      </c>
      <c r="B27" s="7" t="n">
        <f aca="false">'Operations &amp; Capacity'!$B$25</f>
        <v>6821.05263157895</v>
      </c>
      <c r="C27" s="6" t="s">
        <v>508</v>
      </c>
      <c r="D27" s="6"/>
      <c r="E27" s="6"/>
    </row>
    <row r="28" customFormat="false" ht="15" hidden="false" customHeight="false" outlineLevel="0" collapsed="false">
      <c r="A28" s="6" t="s">
        <v>759</v>
      </c>
      <c r="B28" s="25" t="n">
        <v>0.3</v>
      </c>
      <c r="C28" s="6" t="s">
        <v>173</v>
      </c>
      <c r="D28" s="6" t="s">
        <v>74</v>
      </c>
      <c r="E28" s="6"/>
    </row>
    <row r="29" customFormat="false" ht="15" hidden="false" customHeight="false" outlineLevel="0" collapsed="false">
      <c r="A29" s="6" t="s">
        <v>760</v>
      </c>
      <c r="B29" s="25" t="n">
        <v>0.01</v>
      </c>
      <c r="C29" s="6" t="s">
        <v>173</v>
      </c>
      <c r="D29" s="6" t="s">
        <v>66</v>
      </c>
      <c r="E29" s="6" t="s">
        <v>761</v>
      </c>
    </row>
    <row r="30" customFormat="false" ht="15" hidden="false" customHeight="false" outlineLevel="0" collapsed="false">
      <c r="A30" s="6" t="s">
        <v>762</v>
      </c>
      <c r="B30" s="31" t="n">
        <f aca="false">$B$27*$B$28*$B$29*1000</f>
        <v>20463.1578947368</v>
      </c>
      <c r="C30" s="6" t="s">
        <v>737</v>
      </c>
      <c r="D30" s="6"/>
      <c r="E30" s="6"/>
    </row>
    <row r="31" customFormat="false" ht="15" hidden="false" customHeight="false" outlineLevel="0" collapsed="false">
      <c r="A31" s="6" t="s">
        <v>763</v>
      </c>
      <c r="B31" s="18" t="n">
        <v>150</v>
      </c>
      <c r="C31" s="6" t="s">
        <v>124</v>
      </c>
      <c r="D31" s="6" t="s">
        <v>66</v>
      </c>
      <c r="E31" s="6" t="s">
        <v>764</v>
      </c>
    </row>
    <row r="32" customFormat="false" ht="15" hidden="false" customHeight="false" outlineLevel="0" collapsed="false">
      <c r="A32" s="6" t="s">
        <v>765</v>
      </c>
      <c r="B32" s="20" t="n">
        <v>25</v>
      </c>
      <c r="C32" s="6" t="s">
        <v>766</v>
      </c>
      <c r="D32" s="6" t="s">
        <v>66</v>
      </c>
      <c r="E32" s="6" t="s">
        <v>761</v>
      </c>
    </row>
    <row r="33" customFormat="false" ht="15" hidden="false" customHeight="false" outlineLevel="0" collapsed="false">
      <c r="A33" s="6" t="s">
        <v>767</v>
      </c>
      <c r="B33" s="20" t="n">
        <v>250</v>
      </c>
      <c r="C33" s="6" t="s">
        <v>70</v>
      </c>
      <c r="D33" s="6" t="s">
        <v>74</v>
      </c>
      <c r="E33" s="6"/>
    </row>
    <row r="34" customFormat="false" ht="15" hidden="false" customHeight="false" outlineLevel="0" collapsed="false">
      <c r="A34" s="6" t="s">
        <v>768</v>
      </c>
      <c r="B34" s="31" t="n">
        <f aca="false">ROUNDUP($B$30/($B$32*$B$33),0)</f>
        <v>4</v>
      </c>
      <c r="C34" s="6" t="s">
        <v>769</v>
      </c>
      <c r="D34" s="6"/>
      <c r="E34" s="6"/>
    </row>
    <row r="35" customFormat="false" ht="15" hidden="false" customHeight="false" outlineLevel="0" collapsed="false">
      <c r="A35" s="6" t="s">
        <v>770</v>
      </c>
      <c r="B35" s="18" t="n">
        <v>500000</v>
      </c>
      <c r="C35" s="6" t="s">
        <v>771</v>
      </c>
      <c r="D35" s="6" t="s">
        <v>66</v>
      </c>
      <c r="E35" s="6" t="s">
        <v>772</v>
      </c>
    </row>
    <row r="36" customFormat="false" ht="15" hidden="false" customHeight="false" outlineLevel="0" collapsed="false">
      <c r="A36" s="6" t="s">
        <v>773</v>
      </c>
      <c r="B36" s="20" t="n">
        <v>3</v>
      </c>
      <c r="C36" s="6" t="s">
        <v>144</v>
      </c>
      <c r="D36" s="6" t="s">
        <v>74</v>
      </c>
      <c r="E36" s="6"/>
    </row>
    <row r="37" customFormat="false" ht="15" hidden="false" customHeight="false" outlineLevel="0" collapsed="false">
      <c r="A37" s="6" t="s">
        <v>774</v>
      </c>
      <c r="B37" s="20" t="n">
        <v>40</v>
      </c>
      <c r="C37" s="6" t="s">
        <v>775</v>
      </c>
      <c r="D37" s="6" t="s">
        <v>74</v>
      </c>
      <c r="E37" s="6"/>
    </row>
    <row r="38" customFormat="false" ht="15" hidden="false" customHeight="false" outlineLevel="0" collapsed="false">
      <c r="A38" s="6" t="s">
        <v>776</v>
      </c>
      <c r="B38" s="18" t="n">
        <v>300</v>
      </c>
      <c r="C38" s="6" t="s">
        <v>777</v>
      </c>
      <c r="D38" s="6" t="s">
        <v>74</v>
      </c>
      <c r="E38" s="6"/>
    </row>
    <row r="39" customFormat="false" ht="15" hidden="false" customHeight="false" outlineLevel="0" collapsed="false">
      <c r="A39" s="6" t="s">
        <v>778</v>
      </c>
      <c r="B39" s="18" t="n">
        <v>5</v>
      </c>
      <c r="C39" s="6" t="s">
        <v>779</v>
      </c>
      <c r="D39" s="6" t="s">
        <v>74</v>
      </c>
      <c r="E39" s="6"/>
    </row>
    <row r="40" customFormat="false" ht="15" hidden="false" customHeight="false" outlineLevel="0" collapsed="false">
      <c r="A40" s="12" t="s">
        <v>751</v>
      </c>
      <c r="B40" s="34" t="n">
        <f aca="false">$B$30*$B$31</f>
        <v>3069473.68421053</v>
      </c>
      <c r="C40" s="6" t="s">
        <v>358</v>
      </c>
      <c r="D40" s="6"/>
      <c r="E40" s="6"/>
    </row>
    <row r="41" customFormat="false" ht="15" hidden="false" customHeight="false" outlineLevel="0" collapsed="false">
      <c r="A41" s="6" t="s">
        <v>780</v>
      </c>
      <c r="B41" s="9" t="n">
        <f aca="false">$B$34*$B$33*($B$36*Inputs!$B$45+$B$37*Inputs!$B$48)+$B$27*$B$28*$B$38+$B$30*$B$39</f>
        <v>2593710.52631579</v>
      </c>
      <c r="C41" s="6" t="s">
        <v>358</v>
      </c>
      <c r="D41" s="6"/>
      <c r="E41" s="6"/>
    </row>
    <row r="42" customFormat="false" ht="15" hidden="false" customHeight="false" outlineLevel="0" collapsed="false">
      <c r="A42" s="12" t="s">
        <v>40</v>
      </c>
      <c r="B42" s="33" t="n">
        <f aca="false">$B$40-$B$41</f>
        <v>475763.157894737</v>
      </c>
      <c r="C42" s="6" t="s">
        <v>358</v>
      </c>
      <c r="D42" s="6"/>
      <c r="E42" s="6"/>
    </row>
    <row r="43" customFormat="false" ht="15" hidden="false" customHeight="false" outlineLevel="0" collapsed="false">
      <c r="A43" s="6" t="s">
        <v>781</v>
      </c>
      <c r="B43" s="32" t="n">
        <f aca="false">$B$34*($B$35+200000)/5</f>
        <v>560000</v>
      </c>
      <c r="C43" s="6" t="s">
        <v>358</v>
      </c>
      <c r="D43" s="6" t="s">
        <v>74</v>
      </c>
      <c r="E43" s="6"/>
    </row>
    <row r="44" customFormat="false" ht="15" hidden="false" customHeight="false" outlineLevel="0" collapsed="false">
      <c r="A44" s="12" t="s">
        <v>754</v>
      </c>
      <c r="B44" s="34" t="n">
        <f aca="false">$B$42-$B$43</f>
        <v>-84236.8421052629</v>
      </c>
      <c r="C44" s="6" t="s">
        <v>358</v>
      </c>
      <c r="D44" s="6"/>
      <c r="E44" s="6"/>
    </row>
    <row r="45" customFormat="false" ht="15" hidden="false" customHeight="false" outlineLevel="0" collapsed="false">
      <c r="A45" s="12" t="s">
        <v>782</v>
      </c>
      <c r="B45" s="57" t="n">
        <f aca="false">IF($B$30=0,0,$B$44/$B$30)</f>
        <v>-4.116512345679</v>
      </c>
      <c r="C45" s="6" t="s">
        <v>124</v>
      </c>
      <c r="D45" s="6"/>
      <c r="E45" s="6"/>
    </row>
    <row r="46" customFormat="false" ht="15" hidden="false" customHeight="false" outlineLevel="0" collapsed="false">
      <c r="A46" s="6" t="s">
        <v>783</v>
      </c>
      <c r="B46" s="32" t="n">
        <f aca="false">$B$34*($B$35+200000)</f>
        <v>2800000</v>
      </c>
      <c r="C46" s="6" t="s">
        <v>310</v>
      </c>
      <c r="D46" s="6"/>
      <c r="E46" s="6"/>
    </row>
    <row r="47" customFormat="false" ht="15" hidden="false" customHeight="false" outlineLevel="0" collapsed="false">
      <c r="A47" s="3" t="s">
        <v>784</v>
      </c>
      <c r="B47" s="4"/>
      <c r="C47" s="4"/>
      <c r="D47" s="4"/>
      <c r="E47" s="4"/>
    </row>
    <row r="48" customFormat="false" ht="15" hidden="false" customHeight="false" outlineLevel="0" collapsed="false">
      <c r="A48" s="6" t="s">
        <v>785</v>
      </c>
      <c r="B48" s="58"/>
      <c r="C48" s="6" t="s">
        <v>786</v>
      </c>
      <c r="D48" s="6" t="s">
        <v>281</v>
      </c>
      <c r="E48" s="6" t="s">
        <v>787</v>
      </c>
    </row>
    <row r="49" customFormat="false" ht="15" hidden="false" customHeight="false" outlineLevel="0" collapsed="false">
      <c r="A49" s="6" t="s">
        <v>788</v>
      </c>
      <c r="B49" s="58"/>
      <c r="C49" s="6" t="s">
        <v>789</v>
      </c>
      <c r="D49" s="6" t="s">
        <v>281</v>
      </c>
      <c r="E49" s="6" t="s">
        <v>790</v>
      </c>
    </row>
    <row r="50" customFormat="false" ht="15" hidden="false" customHeight="false" outlineLevel="0" collapsed="false">
      <c r="A50" s="6" t="s">
        <v>791</v>
      </c>
      <c r="B50" s="58"/>
      <c r="C50" s="6" t="s">
        <v>789</v>
      </c>
      <c r="D50" s="6" t="s">
        <v>281</v>
      </c>
      <c r="E50" s="6" t="s">
        <v>787</v>
      </c>
    </row>
    <row r="51" customFormat="false" ht="15" hidden="false" customHeight="false" outlineLevel="0" collapsed="false">
      <c r="A51" s="12" t="s">
        <v>792</v>
      </c>
      <c r="B51" s="34" t="n">
        <f aca="false">IF(COUNT($B$48,$B$49,$B$50)&lt;3,0,$B$27*$B$28*$B$48*($B$49-$B$50))</f>
        <v>0</v>
      </c>
      <c r="C51" s="6" t="s">
        <v>358</v>
      </c>
      <c r="D51" s="6"/>
      <c r="E51" s="6"/>
    </row>
    <row r="52" customFormat="false" ht="15" hidden="false" customHeight="false" outlineLevel="0" collapsed="false">
      <c r="A52" s="3" t="s">
        <v>793</v>
      </c>
      <c r="B52" s="4"/>
      <c r="C52" s="4"/>
      <c r="D52" s="4"/>
      <c r="E52" s="4"/>
    </row>
    <row r="53" customFormat="false" ht="15" hidden="false" customHeight="false" outlineLevel="0" collapsed="false">
      <c r="A53" s="6" t="s">
        <v>794</v>
      </c>
      <c r="B53" s="7" t="n">
        <f aca="false">'Operations &amp; Capacity'!$B$15+$B$6*(1-$B$7)+'Operations &amp; Capacity'!$C$17+'Operations &amp; Capacity'!$D$17+$B$27*0.1</f>
        <v>1443.03157894737</v>
      </c>
      <c r="C53" s="6" t="s">
        <v>508</v>
      </c>
      <c r="D53" s="6" t="s">
        <v>74</v>
      </c>
      <c r="E53" s="6"/>
    </row>
    <row r="54" customFormat="false" ht="15" hidden="false" customHeight="false" outlineLevel="0" collapsed="false">
      <c r="A54" s="6" t="s">
        <v>795</v>
      </c>
      <c r="B54" s="25" t="n">
        <v>0.25</v>
      </c>
      <c r="C54" s="6" t="s">
        <v>173</v>
      </c>
      <c r="D54" s="6" t="s">
        <v>74</v>
      </c>
      <c r="E54" s="6"/>
    </row>
    <row r="55" customFormat="false" ht="15" hidden="false" customHeight="false" outlineLevel="0" collapsed="false">
      <c r="A55" s="6" t="s">
        <v>796</v>
      </c>
      <c r="B55" s="31" t="n">
        <f aca="false">$B$53*$B$54*1000</f>
        <v>360757.894736842</v>
      </c>
      <c r="C55" s="6" t="s">
        <v>737</v>
      </c>
      <c r="D55" s="6"/>
      <c r="E55" s="6"/>
    </row>
    <row r="56" customFormat="false" ht="15" hidden="false" customHeight="false" outlineLevel="0" collapsed="false">
      <c r="A56" s="6" t="s">
        <v>797</v>
      </c>
      <c r="B56" s="18" t="n">
        <v>6</v>
      </c>
      <c r="C56" s="6" t="s">
        <v>124</v>
      </c>
      <c r="D56" s="6" t="s">
        <v>66</v>
      </c>
      <c r="E56" s="6" t="s">
        <v>798</v>
      </c>
    </row>
    <row r="57" customFormat="false" ht="15" hidden="false" customHeight="false" outlineLevel="0" collapsed="false">
      <c r="A57" s="6" t="s">
        <v>799</v>
      </c>
      <c r="B57" s="23" t="n">
        <v>2</v>
      </c>
      <c r="C57" s="6" t="s">
        <v>124</v>
      </c>
      <c r="D57" s="6" t="s">
        <v>74</v>
      </c>
      <c r="E57" s="6"/>
    </row>
    <row r="58" customFormat="false" ht="15" hidden="false" customHeight="false" outlineLevel="0" collapsed="false">
      <c r="A58" s="6" t="s">
        <v>783</v>
      </c>
      <c r="B58" s="18" t="n">
        <v>1000000</v>
      </c>
      <c r="C58" s="6" t="s">
        <v>310</v>
      </c>
      <c r="D58" s="6" t="s">
        <v>74</v>
      </c>
      <c r="E58" s="6"/>
    </row>
    <row r="59" customFormat="false" ht="15" hidden="false" customHeight="false" outlineLevel="0" collapsed="false">
      <c r="A59" s="12" t="s">
        <v>800</v>
      </c>
      <c r="B59" s="34" t="n">
        <f aca="false">$B$55*$B$56</f>
        <v>2164547.36842105</v>
      </c>
      <c r="C59" s="6" t="s">
        <v>358</v>
      </c>
      <c r="D59" s="6"/>
      <c r="E59" s="6"/>
    </row>
    <row r="60" customFormat="false" ht="15" hidden="false" customHeight="false" outlineLevel="0" collapsed="false">
      <c r="A60" s="6" t="s">
        <v>780</v>
      </c>
      <c r="B60" s="32" t="n">
        <f aca="false">$B$55*$B$57</f>
        <v>721515.789473684</v>
      </c>
      <c r="C60" s="6" t="s">
        <v>358</v>
      </c>
      <c r="D60" s="6"/>
      <c r="E60" s="6"/>
    </row>
    <row r="61" customFormat="false" ht="15" hidden="false" customHeight="false" outlineLevel="0" collapsed="false">
      <c r="A61" s="12" t="s">
        <v>40</v>
      </c>
      <c r="B61" s="33" t="n">
        <f aca="false">$B$59-$B$60</f>
        <v>1443031.57894737</v>
      </c>
      <c r="C61" s="6" t="s">
        <v>358</v>
      </c>
      <c r="D61" s="6"/>
      <c r="E61" s="6"/>
    </row>
    <row r="62" customFormat="false" ht="15" hidden="false" customHeight="false" outlineLevel="0" collapsed="false">
      <c r="A62" s="6" t="s">
        <v>801</v>
      </c>
      <c r="B62" s="32" t="n">
        <f aca="false">$B$58/5</f>
        <v>200000</v>
      </c>
      <c r="C62" s="6" t="s">
        <v>358</v>
      </c>
      <c r="D62" s="6"/>
      <c r="E62" s="6"/>
    </row>
    <row r="63" customFormat="false" ht="15" hidden="false" customHeight="false" outlineLevel="0" collapsed="false">
      <c r="A63" s="12" t="s">
        <v>802</v>
      </c>
      <c r="B63" s="57" t="n">
        <f aca="false">IF($B$55=0,0,($B$61-$B$62)/$B$55)</f>
        <v>3.44561157796452</v>
      </c>
      <c r="C63" s="6" t="s">
        <v>124</v>
      </c>
      <c r="D63" s="6"/>
      <c r="E63" s="6"/>
    </row>
    <row r="64" customFormat="false" ht="15" hidden="false" customHeight="false" outlineLevel="0" collapsed="false">
      <c r="A64" s="3" t="s">
        <v>803</v>
      </c>
      <c r="B64" s="4"/>
      <c r="C64" s="4"/>
      <c r="D64" s="4"/>
      <c r="E64" s="4"/>
    </row>
    <row r="65" customFormat="false" ht="15" hidden="false" customHeight="false" outlineLevel="0" collapsed="false">
      <c r="A65" s="6" t="s">
        <v>804</v>
      </c>
      <c r="E65" s="6" t="s">
        <v>805</v>
      </c>
    </row>
    <row r="66" customFormat="false" ht="15" hidden="false" customHeight="false" outlineLevel="0" collapsed="false">
      <c r="A66" s="6" t="s">
        <v>806</v>
      </c>
      <c r="E66" s="6" t="s">
        <v>807</v>
      </c>
    </row>
    <row r="67" customFormat="false" ht="15" hidden="false" customHeight="false" outlineLevel="0" collapsed="false">
      <c r="A67" s="6" t="s">
        <v>808</v>
      </c>
      <c r="E67" s="6" t="s">
        <v>809</v>
      </c>
    </row>
    <row r="69" customFormat="false" ht="15" hidden="false" customHeight="false" outlineLevel="0" collapsed="false">
      <c r="A69" s="3" t="s">
        <v>810</v>
      </c>
      <c r="B69" s="4"/>
      <c r="C69" s="4"/>
      <c r="D69" s="4"/>
      <c r="E69" s="4"/>
    </row>
    <row r="70" customFormat="false" ht="15" hidden="false" customHeight="false" outlineLevel="0" collapsed="false">
      <c r="A70" s="12" t="s">
        <v>811</v>
      </c>
      <c r="B70" s="34" t="n">
        <f aca="false">$B$19+$B$40+$B$59+IF(COUNT($B$48,$B$49,$B$50)&lt;3,0,$B$27*$B$28*$B$48*$B$49)</f>
        <v>20294905.2631579</v>
      </c>
      <c r="C70" s="6" t="s">
        <v>358</v>
      </c>
      <c r="D70" s="6"/>
      <c r="E70" s="6"/>
    </row>
    <row r="71" customFormat="false" ht="15" hidden="false" customHeight="false" outlineLevel="0" collapsed="false">
      <c r="A71" s="6" t="s">
        <v>812</v>
      </c>
      <c r="B71" s="32" t="n">
        <f aca="false">$B$20+$B$15+$B$41+$B$60+IF(COUNT($B$48,$B$49,$B$50)&lt;3,0,$B$27*$B$28*$B$48*$B$50)</f>
        <v>9521222.10526316</v>
      </c>
      <c r="C71" s="6" t="s">
        <v>358</v>
      </c>
      <c r="D71" s="6"/>
      <c r="E71" s="6"/>
    </row>
    <row r="72" customFormat="false" ht="15" hidden="false" customHeight="false" outlineLevel="0" collapsed="false">
      <c r="A72" s="12" t="s">
        <v>813</v>
      </c>
      <c r="B72" s="33" t="n">
        <f aca="false">$B$70-$B$71</f>
        <v>10773683.1578947</v>
      </c>
      <c r="C72" s="6" t="s">
        <v>358</v>
      </c>
      <c r="D72" s="6"/>
      <c r="E72" s="6"/>
    </row>
    <row r="73" customFormat="false" ht="15" hidden="false" customHeight="false" outlineLevel="0" collapsed="false">
      <c r="A73" s="6" t="s">
        <v>753</v>
      </c>
      <c r="B73" s="32" t="n">
        <f aca="false">$B$22+$B$43+$B$62</f>
        <v>1010000</v>
      </c>
      <c r="C73" s="6" t="s">
        <v>358</v>
      </c>
      <c r="D73" s="6"/>
      <c r="E73" s="6"/>
    </row>
    <row r="74" customFormat="false" ht="15" hidden="false" customHeight="false" outlineLevel="0" collapsed="false">
      <c r="A74" s="6" t="s">
        <v>783</v>
      </c>
      <c r="B74" s="32" t="n">
        <f aca="false">$B$16+$B$46+$B$58</f>
        <v>6300000</v>
      </c>
      <c r="C74" s="6" t="s">
        <v>310</v>
      </c>
      <c r="D74" s="6"/>
      <c r="E7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814</v>
      </c>
    </row>
    <row r="2" customFormat="false" ht="15" hidden="false" customHeight="false" outlineLevel="0" collapsed="false">
      <c r="A2" s="2" t="s">
        <v>815</v>
      </c>
    </row>
    <row r="4" customFormat="false" ht="15" hidden="false" customHeight="false" outlineLevel="0" collapsed="false">
      <c r="A4" s="17" t="s">
        <v>816</v>
      </c>
      <c r="B4" s="17" t="s">
        <v>817</v>
      </c>
      <c r="C4" s="17" t="s">
        <v>818</v>
      </c>
      <c r="D4" s="17" t="s">
        <v>37</v>
      </c>
      <c r="E4" s="17" t="s">
        <v>340</v>
      </c>
    </row>
    <row r="5" customFormat="false" ht="15" hidden="false" customHeight="false" outlineLevel="0" collapsed="false">
      <c r="A5" s="3" t="s">
        <v>751</v>
      </c>
      <c r="B5" s="4"/>
      <c r="C5" s="4"/>
      <c r="D5" s="4"/>
      <c r="E5" s="4"/>
    </row>
    <row r="6" customFormat="false" ht="15" hidden="false" customHeight="false" outlineLevel="0" collapsed="false">
      <c r="A6" s="6" t="s">
        <v>24</v>
      </c>
      <c r="B6" s="9" t="n">
        <f aca="false">'Unit Economics'!$B$5*('Operations &amp; Capacity'!$B$20*1000)</f>
        <v>59910459.5951417</v>
      </c>
      <c r="C6" s="10" t="n">
        <f aca="false">B6/('Operations &amp; Capacity'!$E$19*1000)</f>
        <v>9.64686953868346</v>
      </c>
      <c r="D6" s="32" t="n">
        <f aca="false">B6</f>
        <v>59910459.5951417</v>
      </c>
      <c r="E6" s="6"/>
    </row>
    <row r="7" customFormat="false" ht="15" hidden="false" customHeight="false" outlineLevel="0" collapsed="false">
      <c r="A7" s="6" t="s">
        <v>819</v>
      </c>
      <c r="B7" s="9" t="n">
        <f aca="false">'Unit Economics'!$C$5*('Operations &amp; Capacity'!$B$21*1000)</f>
        <v>97354496.8421053</v>
      </c>
      <c r="C7" s="10" t="n">
        <f aca="false">B7/('Operations &amp; Capacity'!$E$19*1000)</f>
        <v>15.6761630003606</v>
      </c>
      <c r="D7" s="32" t="n">
        <f aca="false">B7</f>
        <v>97354496.8421053</v>
      </c>
      <c r="E7" s="6"/>
    </row>
    <row r="8" customFormat="false" ht="15" hidden="false" customHeight="false" outlineLevel="0" collapsed="false">
      <c r="A8" s="6" t="s">
        <v>820</v>
      </c>
      <c r="B8" s="9" t="n">
        <f aca="false">'Operations &amp; Capacity'!$B$12*1000*'Farm Plan'!$D$47</f>
        <v>0</v>
      </c>
      <c r="C8" s="10" t="n">
        <f aca="false">B8/('Operations &amp; Capacity'!$E$19*1000)</f>
        <v>0</v>
      </c>
      <c r="D8" s="32" t="n">
        <f aca="false">B8</f>
        <v>0</v>
      </c>
      <c r="E8" s="6" t="s">
        <v>821</v>
      </c>
    </row>
    <row r="9" customFormat="false" ht="15" hidden="false" customHeight="false" outlineLevel="0" collapsed="false">
      <c r="A9" s="6" t="s">
        <v>15</v>
      </c>
      <c r="B9" s="9" t="n">
        <f aca="false">'Unit Economics'!$D$5*('Operations &amp; Capacity'!$C$19*1000)</f>
        <v>32452992</v>
      </c>
      <c r="C9" s="10" t="n">
        <f aca="false">B9/('Operations &amp; Capacity'!$E$19*1000)</f>
        <v>5.22562808029811</v>
      </c>
      <c r="D9" s="32" t="n">
        <f aca="false">B9</f>
        <v>32452992</v>
      </c>
      <c r="E9" s="6"/>
    </row>
    <row r="10" customFormat="false" ht="15" hidden="false" customHeight="false" outlineLevel="0" collapsed="false">
      <c r="A10" s="6" t="s">
        <v>26</v>
      </c>
      <c r="B10" s="9" t="n">
        <f aca="false">'Unit Economics'!$E$5*('Operations &amp; Capacity'!$D$19*1000)</f>
        <v>39147840</v>
      </c>
      <c r="C10" s="10" t="n">
        <f aca="false">B10/('Operations &amp; Capacity'!$E$19*1000)</f>
        <v>6.30364226469528</v>
      </c>
      <c r="D10" s="32" t="n">
        <f aca="false">B10</f>
        <v>39147840</v>
      </c>
      <c r="E10" s="6"/>
    </row>
    <row r="11" customFormat="false" ht="15" hidden="false" customHeight="false" outlineLevel="0" collapsed="false">
      <c r="A11" s="6" t="s">
        <v>822</v>
      </c>
      <c r="B11" s="9" t="n">
        <f aca="false">'Crop Rotation'!$B$27</f>
        <v>0</v>
      </c>
      <c r="C11" s="10" t="n">
        <f aca="false">B11/('Operations &amp; Capacity'!$E$19*1000)</f>
        <v>0</v>
      </c>
      <c r="D11" s="32" t="n">
        <f aca="false">B11</f>
        <v>0</v>
      </c>
      <c r="E11" s="6"/>
    </row>
    <row r="12" customFormat="false" ht="15" hidden="false" customHeight="false" outlineLevel="0" collapsed="false">
      <c r="A12" s="6" t="s">
        <v>823</v>
      </c>
      <c r="B12" s="9" t="n">
        <f aca="false">'Waste Valorisation'!$B$70</f>
        <v>20294905.2631579</v>
      </c>
      <c r="C12" s="10" t="n">
        <f aca="false">B12/('Operations &amp; Capacity'!$E$19*1000)</f>
        <v>3.26791523044001</v>
      </c>
      <c r="D12" s="32" t="n">
        <f aca="false">B12</f>
        <v>20294905.2631579</v>
      </c>
      <c r="E12" s="6"/>
    </row>
    <row r="13" customFormat="false" ht="15" hidden="false" customHeight="false" outlineLevel="0" collapsed="false">
      <c r="A13" s="12" t="s">
        <v>824</v>
      </c>
      <c r="B13" s="33" t="n">
        <f aca="false">SUM(B6:B12)</f>
        <v>249160693.700405</v>
      </c>
      <c r="C13" s="36" t="n">
        <f aca="false">B13/('Operations &amp; Capacity'!$E$19*1000)</f>
        <v>40.1202181144775</v>
      </c>
      <c r="D13" s="33" t="n">
        <f aca="false">SUM(D6:D12)</f>
        <v>249160693.700405</v>
      </c>
      <c r="E13" s="6"/>
    </row>
    <row r="14" customFormat="false" ht="15" hidden="false" customHeight="false" outlineLevel="0" collapsed="false">
      <c r="A14" s="3" t="s">
        <v>825</v>
      </c>
      <c r="B14" s="4"/>
      <c r="C14" s="4"/>
      <c r="D14" s="4"/>
      <c r="E14" s="4"/>
    </row>
    <row r="15" customFormat="false" ht="15" hidden="false" customHeight="false" outlineLevel="0" collapsed="false">
      <c r="A15" s="6" t="s">
        <v>826</v>
      </c>
      <c r="B15" s="9" t="n">
        <f aca="false">'Farm Plan'!$D$43</f>
        <v>39413736.8421053</v>
      </c>
      <c r="C15" s="10" t="n">
        <f aca="false">B15/('Operations &amp; Capacity'!$E$19*1000)</f>
        <v>6.34645736182308</v>
      </c>
      <c r="D15" s="32" t="n">
        <f aca="false">B15</f>
        <v>39413736.8421053</v>
      </c>
      <c r="E15" s="6"/>
    </row>
    <row r="16" customFormat="false" ht="15" hidden="false" customHeight="false" outlineLevel="0" collapsed="false">
      <c r="A16" s="6" t="s">
        <v>827</v>
      </c>
      <c r="B16" s="9" t="n">
        <f aca="false">'Operations &amp; Capacity'!$C$11*1000*(Inputs!$B$77+Inputs!$B$78)+'Operations &amp; Capacity'!$D$11*1000*(Inputs!$B$87+Inputs!$B$88)</f>
        <v>45000000</v>
      </c>
      <c r="C16" s="10" t="n">
        <f aca="false">B16/('Operations &amp; Capacity'!$E$19*1000)</f>
        <v>7.24596559890118</v>
      </c>
      <c r="D16" s="32" t="n">
        <f aca="false">B16</f>
        <v>45000000</v>
      </c>
      <c r="E16" s="6"/>
    </row>
    <row r="17" customFormat="false" ht="15" hidden="false" customHeight="false" outlineLevel="0" collapsed="false">
      <c r="A17" s="6" t="s">
        <v>682</v>
      </c>
      <c r="B17" s="9" t="n">
        <f aca="false">'Packhouse Opex'!$B$36</f>
        <v>5684210.52631579</v>
      </c>
      <c r="C17" s="10" t="n">
        <f aca="false">B17/('Operations &amp; Capacity'!$E$19*1000)</f>
        <v>0.915279865124359</v>
      </c>
      <c r="D17" s="32" t="n">
        <f aca="false">B17</f>
        <v>5684210.52631579</v>
      </c>
      <c r="E17" s="6"/>
    </row>
    <row r="18" customFormat="false" ht="15" hidden="false" customHeight="false" outlineLevel="0" collapsed="false">
      <c r="A18" s="6" t="s">
        <v>828</v>
      </c>
      <c r="B18" s="9" t="n">
        <f aca="false">'Packhouse Opex'!$B$37</f>
        <v>14210963.1578947</v>
      </c>
      <c r="C18" s="10" t="n">
        <f aca="false">B18/('Operations &amp; Capacity'!$E$19*1000)</f>
        <v>2.2882700037635</v>
      </c>
      <c r="D18" s="32" t="n">
        <f aca="false">B18</f>
        <v>14210963.1578947</v>
      </c>
      <c r="E18" s="6"/>
    </row>
    <row r="19" customFormat="false" ht="15" hidden="false" customHeight="false" outlineLevel="0" collapsed="false">
      <c r="A19" s="6" t="s">
        <v>829</v>
      </c>
      <c r="B19" s="9" t="n">
        <f aca="false">'Packhouse Opex'!$B$38</f>
        <v>1806657.47368421</v>
      </c>
      <c r="C19" s="10" t="n">
        <f aca="false">B19/('Operations &amp; Capacity'!$E$19*1000)</f>
        <v>0.290910620073633</v>
      </c>
      <c r="D19" s="32" t="n">
        <f aca="false">B19</f>
        <v>1806657.47368421</v>
      </c>
      <c r="E19" s="6"/>
    </row>
    <row r="20" customFormat="false" ht="15" hidden="false" customHeight="false" outlineLevel="0" collapsed="false">
      <c r="A20" s="6" t="s">
        <v>830</v>
      </c>
      <c r="B20" s="9" t="n">
        <f aca="false">'Packhouse Opex'!$B$39</f>
        <v>1526140</v>
      </c>
      <c r="C20" s="10" t="n">
        <f aca="false">B20/('Operations &amp; Capacity'!$E$19*1000)</f>
        <v>0.245741287535712</v>
      </c>
      <c r="D20" s="32" t="n">
        <f aca="false">B20</f>
        <v>1526140</v>
      </c>
      <c r="E20" s="6"/>
    </row>
    <row r="21" customFormat="false" ht="15" hidden="false" customHeight="false" outlineLevel="0" collapsed="false">
      <c r="A21" s="6" t="s">
        <v>831</v>
      </c>
      <c r="B21" s="9" t="n">
        <f aca="false">'Packhouse Opex'!$B$40</f>
        <v>3429571.25</v>
      </c>
      <c r="C21" s="10" t="n">
        <f aca="false">B21/('Operations &amp; Capacity'!$E$19*1000)</f>
        <v>0.552234562144011</v>
      </c>
      <c r="D21" s="32" t="n">
        <f aca="false">B21</f>
        <v>3429571.25</v>
      </c>
      <c r="E21" s="6"/>
    </row>
    <row r="22" customFormat="false" ht="15" hidden="false" customHeight="false" outlineLevel="0" collapsed="false">
      <c r="A22" s="6" t="s">
        <v>832</v>
      </c>
      <c r="B22" s="9" t="n">
        <f aca="false">'Unit Economics'!$B$13*('Operations &amp; Capacity'!$B$20*1000)+'Unit Economics'!$C$13*('Operations &amp; Capacity'!$B$21*1000)+'Unit Economics'!$D$13*('Operations &amp; Capacity'!$C$19*1000)+'Unit Economics'!$E$13*('Operations &amp; Capacity'!$D$19*1000)</f>
        <v>32959012.4210526</v>
      </c>
      <c r="C22" s="10" t="n">
        <f aca="false">B22/('Operations &amp; Capacity'!$E$19*1000)</f>
        <v>5.30710822614898</v>
      </c>
      <c r="D22" s="32" t="n">
        <f aca="false">B22</f>
        <v>32959012.4210526</v>
      </c>
      <c r="E22" s="6"/>
    </row>
    <row r="23" customFormat="false" ht="15" hidden="false" customHeight="false" outlineLevel="0" collapsed="false">
      <c r="A23" s="6" t="s">
        <v>833</v>
      </c>
      <c r="B23" s="9" t="n">
        <f aca="false">('Unit Economics'!$B$14+'Unit Economics'!$B$15+'Unit Economics'!$B$16+'Unit Economics'!$B$17)*('Operations &amp; Capacity'!$B$20*1000)</f>
        <v>17830493.9271255</v>
      </c>
      <c r="C23" s="10" t="n">
        <f aca="false">B23/('Operations &amp; Capacity'!$E$19*1000)</f>
        <v>2.87109212460817</v>
      </c>
      <c r="D23" s="32" t="n">
        <f aca="false">B23</f>
        <v>17830493.9271255</v>
      </c>
      <c r="E23" s="6"/>
    </row>
    <row r="24" customFormat="false" ht="15" hidden="false" customHeight="false" outlineLevel="0" collapsed="false">
      <c r="A24" s="6" t="s">
        <v>267</v>
      </c>
      <c r="B24" s="9" t="n">
        <f aca="false">'Unit Economics'!$B$18*('Operations &amp; Capacity'!$B$20*1000)</f>
        <v>22230226.1948578</v>
      </c>
      <c r="C24" s="10" t="n">
        <f aca="false">B24/('Operations &amp; Capacity'!$E$19*1000)</f>
        <v>3.57954342808292</v>
      </c>
      <c r="D24" s="32" t="n">
        <f aca="false">0</f>
        <v>0</v>
      </c>
      <c r="E24" s="6" t="s">
        <v>834</v>
      </c>
    </row>
    <row r="25" customFormat="false" ht="15" hidden="false" customHeight="false" outlineLevel="0" collapsed="false">
      <c r="A25" s="6" t="s">
        <v>835</v>
      </c>
      <c r="B25" s="9" t="n">
        <f aca="false">'Unit Economics'!$C$15*(('Operations &amp; Capacity'!$B$21*1000)+('Operations &amp; Capacity'!$C$19*1000)+('Operations &amp; Capacity'!$D$19*1000))</f>
        <v>24022072.1684211</v>
      </c>
      <c r="C25" s="10" t="n">
        <f aca="false">B25/('Operations &amp; Capacity'!$E$19*1000)</f>
        <v>3.86806907881556</v>
      </c>
      <c r="D25" s="32" t="n">
        <f aca="false">B25</f>
        <v>24022072.1684211</v>
      </c>
      <c r="E25" s="6"/>
    </row>
    <row r="26" customFormat="false" ht="15" hidden="false" customHeight="false" outlineLevel="0" collapsed="false">
      <c r="A26" s="6" t="s">
        <v>836</v>
      </c>
      <c r="B26" s="9" t="n">
        <f aca="false">'Unit Economics'!$B$19*('Operations &amp; Capacity'!$B$20*1000)+'Unit Economics'!$C$19*('Operations &amp; Capacity'!$B$21*1000)+'Unit Economics'!$D$19*('Operations &amp; Capacity'!$C$19*1000)+'Unit Economics'!$E$19*('Operations &amp; Capacity'!$D$19*1000)</f>
        <v>9682194.92757584</v>
      </c>
      <c r="C26" s="10" t="n">
        <f aca="false">B26/('Operations &amp; Capacity'!$E$19*1000)</f>
        <v>1.55904114149044</v>
      </c>
      <c r="D26" s="32" t="n">
        <f aca="false">B26</f>
        <v>9682194.92757584</v>
      </c>
      <c r="E26" s="6"/>
    </row>
    <row r="27" customFormat="false" ht="15" hidden="false" customHeight="false" outlineLevel="0" collapsed="false">
      <c r="A27" s="6" t="s">
        <v>837</v>
      </c>
      <c r="B27" s="9" t="n">
        <f aca="false">'Crop Rotation'!$B$28</f>
        <v>0</v>
      </c>
      <c r="C27" s="10" t="n">
        <f aca="false">B27/('Operations &amp; Capacity'!$E$19*1000)</f>
        <v>0</v>
      </c>
      <c r="D27" s="32" t="n">
        <f aca="false">B27</f>
        <v>0</v>
      </c>
      <c r="E27" s="6"/>
    </row>
    <row r="28" customFormat="false" ht="15" hidden="false" customHeight="false" outlineLevel="0" collapsed="false">
      <c r="A28" s="6" t="s">
        <v>838</v>
      </c>
      <c r="B28" s="9" t="n">
        <f aca="false">'Waste Valorisation'!$B$71</f>
        <v>9521222.10526316</v>
      </c>
      <c r="C28" s="10" t="n">
        <f aca="false">B28/('Operations &amp; Capacity'!$E$19*1000)</f>
        <v>1.53312106298298</v>
      </c>
      <c r="D28" s="32" t="n">
        <f aca="false">B28</f>
        <v>9521222.10526316</v>
      </c>
      <c r="E28" s="6"/>
    </row>
    <row r="29" customFormat="false" ht="15" hidden="false" customHeight="false" outlineLevel="0" collapsed="false">
      <c r="A29" s="12" t="s">
        <v>839</v>
      </c>
      <c r="B29" s="59" t="n">
        <f aca="false">SUM(B15:B28)</f>
        <v>227316500.994296</v>
      </c>
      <c r="C29" s="60" t="n">
        <f aca="false">B29/('Operations &amp; Capacity'!$E$19*1000)</f>
        <v>36.6028343614945</v>
      </c>
      <c r="D29" s="59" t="n">
        <f aca="false">SUM(D15:D28)</f>
        <v>205086274.799438</v>
      </c>
      <c r="E29" s="6"/>
    </row>
    <row r="30" customFormat="false" ht="15" hidden="false" customHeight="false" outlineLevel="0" collapsed="false">
      <c r="A30" s="12" t="s">
        <v>40</v>
      </c>
      <c r="B30" s="33" t="n">
        <f aca="false">B13-B29</f>
        <v>21844192.7061089</v>
      </c>
      <c r="C30" s="36" t="n">
        <f aca="false">B30/('Operations &amp; Capacity'!$E$19*1000)</f>
        <v>3.51738375298296</v>
      </c>
      <c r="D30" s="33" t="n">
        <f aca="false">D13-D29</f>
        <v>44074418.9009667</v>
      </c>
      <c r="E30" s="6"/>
    </row>
    <row r="31" customFormat="false" ht="15" hidden="false" customHeight="false" outlineLevel="0" collapsed="false">
      <c r="A31" s="12" t="s">
        <v>840</v>
      </c>
      <c r="B31" s="44" t="n">
        <f aca="false">IF(B13=0,0,B30/B13)</f>
        <v>0.0876711024587801</v>
      </c>
      <c r="D31" s="44" t="n">
        <f aca="false">IF(D13=0,0,D30/D13)</f>
        <v>0.176891540340478</v>
      </c>
    </row>
    <row r="32" customFormat="false" ht="15" hidden="false" customHeight="false" outlineLevel="0" collapsed="false">
      <c r="A32" s="6" t="s">
        <v>841</v>
      </c>
      <c r="B32" s="9" t="n">
        <f aca="false">'Farm Plan'!$D$36+'Packhouse Capex'!$J$25+'Waste Valorisation'!$B$73</f>
        <v>5693250</v>
      </c>
      <c r="C32" s="10" t="n">
        <f aca="false">B32/('Operations &amp; Capacity'!$E$19*1000)</f>
        <v>0.916735414354314</v>
      </c>
      <c r="D32" s="32" t="n">
        <f aca="false">B32</f>
        <v>5693250</v>
      </c>
      <c r="E32" s="6"/>
    </row>
    <row r="33" customFormat="false" ht="15" hidden="false" customHeight="false" outlineLevel="0" collapsed="false">
      <c r="A33" s="6" t="s">
        <v>842</v>
      </c>
      <c r="B33" s="9" t="n">
        <f aca="false">'Packhouse Capex'!$B$35</f>
        <v>804608.523569795</v>
      </c>
      <c r="C33" s="10" t="n">
        <f aca="false">B33/('Operations &amp; Capacity'!$E$19*1000)</f>
        <v>0.129559237385987</v>
      </c>
      <c r="D33" s="32" t="n">
        <f aca="false">B33</f>
        <v>804608.523569795</v>
      </c>
      <c r="E33" s="6" t="s">
        <v>843</v>
      </c>
    </row>
    <row r="34" customFormat="false" ht="15" hidden="false" customHeight="false" outlineLevel="0" collapsed="false">
      <c r="A34" s="12" t="s">
        <v>844</v>
      </c>
      <c r="B34" s="33" t="n">
        <f aca="false">B30-B32-B33</f>
        <v>15346334.1825391</v>
      </c>
      <c r="C34" s="36" t="n">
        <f aca="false">B34/('Operations &amp; Capacity'!$E$19*1000)</f>
        <v>2.47108910124266</v>
      </c>
      <c r="D34" s="33" t="n">
        <f aca="false">D30-D32-D33</f>
        <v>37576560.3773969</v>
      </c>
      <c r="E34" s="6"/>
    </row>
    <row r="35" customFormat="false" ht="15" hidden="false" customHeight="true" outlineLevel="0" collapsed="false">
      <c r="A35" s="16" t="s">
        <v>845</v>
      </c>
      <c r="B35" s="16"/>
      <c r="C35" s="16"/>
      <c r="D35" s="16"/>
      <c r="E35" s="16"/>
    </row>
    <row r="37" customFormat="false" ht="15" hidden="false" customHeight="false" outlineLevel="0" collapsed="false">
      <c r="A37" s="3" t="s">
        <v>846</v>
      </c>
      <c r="B37" s="4"/>
      <c r="C37" s="4"/>
      <c r="D37" s="4"/>
      <c r="E37" s="4"/>
    </row>
    <row r="38" customFormat="false" ht="15" hidden="false" customHeight="false" outlineLevel="0" collapsed="false">
      <c r="A38" s="6" t="s">
        <v>847</v>
      </c>
      <c r="B38" s="9" t="n">
        <f aca="false">'Packhouse Capex'!$E$25+'Waste Valorisation'!$B$74</f>
        <v>35857500</v>
      </c>
      <c r="C38" s="10" t="n">
        <f aca="false">B38/('Operations &amp; Capacity'!$E$19*1000)</f>
        <v>5.77382692139109</v>
      </c>
      <c r="D38" s="32" t="n">
        <f aca="false">B38</f>
        <v>35857500</v>
      </c>
      <c r="E38" s="6"/>
    </row>
    <row r="39" customFormat="false" ht="15" hidden="false" customHeight="false" outlineLevel="0" collapsed="false">
      <c r="A39" s="6" t="s">
        <v>848</v>
      </c>
      <c r="B39" s="9" t="n">
        <f aca="false">-'Packhouse Capex'!$H$25</f>
        <v>-4655000</v>
      </c>
      <c r="C39" s="10" t="n">
        <f aca="false">B39/('Operations &amp; Capacity'!$E$19*1000)</f>
        <v>-0.749554885841888</v>
      </c>
      <c r="D39" s="32" t="n">
        <f aca="false">B39</f>
        <v>-4655000</v>
      </c>
      <c r="E39" s="6"/>
    </row>
    <row r="40" customFormat="false" ht="15" hidden="false" customHeight="false" outlineLevel="0" collapsed="false">
      <c r="A40" s="12" t="s">
        <v>849</v>
      </c>
      <c r="B40" s="34" t="n">
        <f aca="false">B38+B39</f>
        <v>31202500</v>
      </c>
      <c r="C40" s="13" t="n">
        <f aca="false">B40/('Operations &amp; Capacity'!$E$19*1000)</f>
        <v>5.0242720355492</v>
      </c>
      <c r="D40" s="34" t="n">
        <f aca="false">D38+D39</f>
        <v>31202500</v>
      </c>
      <c r="E40" s="6"/>
    </row>
    <row r="41" customFormat="false" ht="15" hidden="false" customHeight="false" outlineLevel="0" collapsed="false">
      <c r="A41" s="12" t="s">
        <v>850</v>
      </c>
      <c r="B41" s="14" t="n">
        <f aca="false">B30-('Farm Plan'!$D$46-'Farm Plan'!$D$43-'Packhouse Opex'!$B$36)</f>
        <v>-9794702.03073318</v>
      </c>
      <c r="C41" s="13" t="n">
        <f aca="false">B41/('Operations &amp; Capacity'!$E$19*1000)</f>
        <v>-1.57715719924845</v>
      </c>
      <c r="D41" s="14" t="n">
        <f aca="false">D30-('Farm Plan'!$D$46-'Farm Plan'!$D$43-'Packhouse Opex'!$B$36)</f>
        <v>12435524.1641246</v>
      </c>
      <c r="E41" s="6" t="s">
        <v>851</v>
      </c>
    </row>
    <row r="42" customFormat="false" ht="15" hidden="false" customHeight="false" outlineLevel="0" collapsed="false">
      <c r="A42" s="12" t="s">
        <v>852</v>
      </c>
      <c r="B42" s="48" t="str">
        <f aca="false">IF(B41&lt;=0,"n/a",B40/B41)</f>
        <v>n/a</v>
      </c>
      <c r="D42" s="48" t="n">
        <f aca="false">IF(D41&lt;=0,"n/a",D40/D41)</f>
        <v>2.50914232389307</v>
      </c>
    </row>
    <row r="43" customFormat="false" ht="15" hidden="false" customHeight="false" outlineLevel="0" collapsed="false">
      <c r="A43" s="6" t="s">
        <v>853</v>
      </c>
      <c r="B43" s="9" t="n">
        <f aca="false">'Packhouse Capex'!$B$34</f>
        <v>3306483.5235698</v>
      </c>
      <c r="C43" s="10" t="n">
        <f aca="false">B43/('Operations &amp; Capacity'!$E$19*1000)</f>
        <v>0.532414797002673</v>
      </c>
      <c r="D43" s="32" t="n">
        <f aca="false">B43</f>
        <v>3306483.5235698</v>
      </c>
      <c r="E43" s="6"/>
    </row>
  </sheetData>
  <mergeCells count="1"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854</v>
      </c>
    </row>
    <row r="2" customFormat="false" ht="15" hidden="false" customHeight="false" outlineLevel="0" collapsed="false">
      <c r="A2" s="2" t="s">
        <v>855</v>
      </c>
    </row>
    <row r="4" customFormat="false" ht="15" hidden="false" customHeight="false" outlineLevel="0" collapsed="false">
      <c r="A4" s="17" t="s">
        <v>856</v>
      </c>
      <c r="B4" s="17" t="s">
        <v>857</v>
      </c>
      <c r="C4" s="17" t="s">
        <v>858</v>
      </c>
      <c r="D4" s="17" t="s">
        <v>598</v>
      </c>
    </row>
    <row r="5" customFormat="false" ht="31.5" hidden="false" customHeight="true" outlineLevel="0" collapsed="false">
      <c r="A5" s="12" t="s">
        <v>859</v>
      </c>
      <c r="B5" s="6" t="s">
        <v>860</v>
      </c>
      <c r="C5" s="6" t="s">
        <v>861</v>
      </c>
      <c r="D5" s="6" t="s">
        <v>862</v>
      </c>
    </row>
    <row r="6" customFormat="false" ht="31.5" hidden="false" customHeight="true" outlineLevel="0" collapsed="false">
      <c r="A6" s="12" t="s">
        <v>863</v>
      </c>
      <c r="B6" s="6" t="s">
        <v>864</v>
      </c>
      <c r="C6" s="11" t="n">
        <f aca="false">'Farm Plan'!$D$40</f>
        <v>5684.21052631579</v>
      </c>
      <c r="D6" s="6" t="s">
        <v>865</v>
      </c>
    </row>
    <row r="7" customFormat="false" ht="31.5" hidden="false" customHeight="true" outlineLevel="0" collapsed="false">
      <c r="A7" s="12" t="s">
        <v>866</v>
      </c>
      <c r="B7" s="6" t="s">
        <v>867</v>
      </c>
      <c r="C7" s="6" t="s">
        <v>868</v>
      </c>
      <c r="D7" s="6"/>
    </row>
    <row r="8" customFormat="false" ht="31.5" hidden="false" customHeight="true" outlineLevel="0" collapsed="false">
      <c r="A8" s="12" t="s">
        <v>869</v>
      </c>
      <c r="B8" s="6" t="s">
        <v>870</v>
      </c>
      <c r="C8" s="11" t="n">
        <f aca="false">'Farm Plan'!$D$28/100000</f>
        <v>195.19</v>
      </c>
      <c r="D8" s="6" t="s">
        <v>871</v>
      </c>
    </row>
    <row r="9" customFormat="false" ht="31.5" hidden="false" customHeight="true" outlineLevel="0" collapsed="false">
      <c r="A9" s="12" t="s">
        <v>872</v>
      </c>
      <c r="B9" s="6" t="s">
        <v>873</v>
      </c>
      <c r="C9" s="6" t="s">
        <v>874</v>
      </c>
      <c r="D9" s="6" t="s">
        <v>875</v>
      </c>
    </row>
    <row r="10" customFormat="false" ht="31.5" hidden="false" customHeight="true" outlineLevel="0" collapsed="false">
      <c r="A10" s="12" t="s">
        <v>876</v>
      </c>
      <c r="B10" s="6" t="s">
        <v>877</v>
      </c>
      <c r="C10" s="11" t="n">
        <f aca="false">'Farm Plan'!$B$36/100000</f>
        <v>138</v>
      </c>
      <c r="D10" s="6"/>
    </row>
    <row r="11" customFormat="false" ht="31.5" hidden="false" customHeight="true" outlineLevel="0" collapsed="false">
      <c r="A11" s="12" t="s">
        <v>878</v>
      </c>
      <c r="B11" s="6" t="s">
        <v>879</v>
      </c>
      <c r="C11" s="6" t="s">
        <v>880</v>
      </c>
      <c r="D11" s="6" t="s">
        <v>881</v>
      </c>
    </row>
    <row r="12" customFormat="false" ht="31.5" hidden="false" customHeight="true" outlineLevel="0" collapsed="false">
      <c r="A12" s="12" t="s">
        <v>882</v>
      </c>
      <c r="B12" s="6" t="s">
        <v>883</v>
      </c>
      <c r="C12" s="6" t="s">
        <v>884</v>
      </c>
      <c r="D12" s="6" t="s">
        <v>885</v>
      </c>
    </row>
    <row r="13" customFormat="false" ht="31.5" hidden="false" customHeight="true" outlineLevel="0" collapsed="false">
      <c r="A13" s="12" t="s">
        <v>5</v>
      </c>
      <c r="B13" s="6" t="s">
        <v>886</v>
      </c>
      <c r="C13" s="11" t="n">
        <f aca="false">Inputs!$B$16</f>
        <v>100</v>
      </c>
      <c r="D13" s="6" t="s">
        <v>887</v>
      </c>
    </row>
    <row r="14" customFormat="false" ht="31.5" hidden="false" customHeight="true" outlineLevel="0" collapsed="false">
      <c r="A14" s="12" t="s">
        <v>783</v>
      </c>
      <c r="B14" s="6" t="s">
        <v>888</v>
      </c>
      <c r="C14" s="11" t="n">
        <f aca="false">'Packhouse Capex'!$E$25/100000</f>
        <v>295.575</v>
      </c>
      <c r="D14" s="6" t="s">
        <v>889</v>
      </c>
    </row>
    <row r="15" customFormat="false" ht="31.5" hidden="false" customHeight="true" outlineLevel="0" collapsed="false">
      <c r="A15" s="12" t="s">
        <v>890</v>
      </c>
      <c r="B15" s="6" t="s">
        <v>891</v>
      </c>
      <c r="C15" s="6" t="s">
        <v>892</v>
      </c>
      <c r="D15" s="6" t="s">
        <v>893</v>
      </c>
    </row>
    <row r="16" customFormat="false" ht="31.5" hidden="false" customHeight="true" outlineLevel="0" collapsed="false">
      <c r="A16" s="12" t="s">
        <v>894</v>
      </c>
      <c r="B16" s="6" t="s">
        <v>895</v>
      </c>
      <c r="C16" s="6" t="s">
        <v>896</v>
      </c>
      <c r="D16" s="6" t="s">
        <v>897</v>
      </c>
    </row>
    <row r="17" customFormat="false" ht="31.5" hidden="false" customHeight="true" outlineLevel="0" collapsed="false">
      <c r="A17" s="12" t="s">
        <v>898</v>
      </c>
      <c r="B17" s="6" t="s">
        <v>899</v>
      </c>
      <c r="C17" s="6" t="s">
        <v>900</v>
      </c>
      <c r="D17" s="6"/>
    </row>
    <row r="18" customFormat="false" ht="31.5" hidden="false" customHeight="true" outlineLevel="0" collapsed="false">
      <c r="A18" s="12" t="s">
        <v>901</v>
      </c>
      <c r="B18" s="6" t="s">
        <v>902</v>
      </c>
      <c r="C18" s="11" t="n">
        <f aca="false">Inputs!$B$96</f>
        <v>60000</v>
      </c>
      <c r="D18" s="6" t="s">
        <v>903</v>
      </c>
    </row>
    <row r="19" customFormat="false" ht="31.5" hidden="false" customHeight="true" outlineLevel="0" collapsed="false">
      <c r="A19" s="12" t="s">
        <v>904</v>
      </c>
      <c r="B19" s="6" t="s">
        <v>905</v>
      </c>
      <c r="C19" s="6" t="s">
        <v>906</v>
      </c>
      <c r="D19" s="6" t="s">
        <v>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  <col collapsed="false" customWidth="true" hidden="false" outlineLevel="0" max="3" min="3" style="0" width="5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908</v>
      </c>
    </row>
    <row r="2" customFormat="false" ht="15" hidden="false" customHeight="false" outlineLevel="0" collapsed="false">
      <c r="A2" s="2" t="s">
        <v>909</v>
      </c>
    </row>
    <row r="4" customFormat="false" ht="15" hidden="false" customHeight="false" outlineLevel="0" collapsed="false">
      <c r="A4" s="17" t="s">
        <v>910</v>
      </c>
      <c r="B4" s="17" t="s">
        <v>911</v>
      </c>
      <c r="C4" s="17" t="s">
        <v>912</v>
      </c>
      <c r="D4" s="17" t="s">
        <v>913</v>
      </c>
    </row>
    <row r="5" customFormat="false" ht="48" hidden="false" customHeight="true" outlineLevel="0" collapsed="false">
      <c r="A5" s="12" t="s">
        <v>914</v>
      </c>
      <c r="B5" s="6" t="s">
        <v>915</v>
      </c>
      <c r="C5" s="6" t="s">
        <v>916</v>
      </c>
      <c r="D5" s="6" t="s">
        <v>917</v>
      </c>
    </row>
    <row r="6" customFormat="false" ht="48" hidden="false" customHeight="true" outlineLevel="0" collapsed="false">
      <c r="A6" s="12" t="s">
        <v>918</v>
      </c>
      <c r="B6" s="6" t="s">
        <v>919</v>
      </c>
      <c r="C6" s="6" t="s">
        <v>920</v>
      </c>
      <c r="D6" s="6" t="s">
        <v>917</v>
      </c>
    </row>
    <row r="7" customFormat="false" ht="48" hidden="false" customHeight="true" outlineLevel="0" collapsed="false">
      <c r="A7" s="12" t="s">
        <v>921</v>
      </c>
      <c r="B7" s="6" t="s">
        <v>922</v>
      </c>
      <c r="C7" s="6" t="s">
        <v>923</v>
      </c>
      <c r="D7" s="6" t="s">
        <v>924</v>
      </c>
    </row>
    <row r="8" customFormat="false" ht="48" hidden="false" customHeight="true" outlineLevel="0" collapsed="false">
      <c r="A8" s="12" t="s">
        <v>925</v>
      </c>
      <c r="B8" s="6" t="s">
        <v>926</v>
      </c>
      <c r="C8" s="6" t="s">
        <v>927</v>
      </c>
      <c r="D8" s="6" t="s">
        <v>928</v>
      </c>
    </row>
    <row r="9" customFormat="false" ht="48" hidden="false" customHeight="true" outlineLevel="0" collapsed="false">
      <c r="A9" s="12" t="s">
        <v>929</v>
      </c>
      <c r="B9" s="6" t="s">
        <v>930</v>
      </c>
      <c r="C9" s="6" t="s">
        <v>931</v>
      </c>
      <c r="D9" s="6" t="s">
        <v>932</v>
      </c>
    </row>
    <row r="10" customFormat="false" ht="48" hidden="false" customHeight="true" outlineLevel="0" collapsed="false">
      <c r="A10" s="12" t="s">
        <v>933</v>
      </c>
      <c r="B10" s="6" t="s">
        <v>934</v>
      </c>
      <c r="C10" s="6" t="s">
        <v>935</v>
      </c>
      <c r="D10" s="6" t="s">
        <v>936</v>
      </c>
    </row>
    <row r="11" customFormat="false" ht="48" hidden="false" customHeight="true" outlineLevel="0" collapsed="false">
      <c r="A11" s="12" t="s">
        <v>742</v>
      </c>
      <c r="B11" s="6" t="s">
        <v>937</v>
      </c>
      <c r="C11" s="6" t="s">
        <v>938</v>
      </c>
      <c r="D11" s="6" t="s">
        <v>627</v>
      </c>
    </row>
    <row r="12" customFormat="false" ht="48" hidden="false" customHeight="true" outlineLevel="0" collapsed="false">
      <c r="A12" s="12" t="s">
        <v>939</v>
      </c>
      <c r="B12" s="6" t="s">
        <v>940</v>
      </c>
      <c r="C12" s="6" t="s">
        <v>941</v>
      </c>
      <c r="D12" s="6" t="s">
        <v>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943</v>
      </c>
    </row>
    <row r="2" customFormat="false" ht="15" hidden="false" customHeight="false" outlineLevel="0" collapsed="false">
      <c r="A2" s="2" t="s">
        <v>944</v>
      </c>
    </row>
    <row r="4" customFormat="false" ht="15" hidden="false" customHeight="false" outlineLevel="0" collapsed="false">
      <c r="A4" s="17" t="s">
        <v>945</v>
      </c>
      <c r="B4" s="17" t="s">
        <v>913</v>
      </c>
      <c r="C4" s="17" t="s">
        <v>946</v>
      </c>
    </row>
    <row r="5" customFormat="false" ht="15" hidden="false" customHeight="false" outlineLevel="0" collapsed="false">
      <c r="A5" s="12" t="s">
        <v>947</v>
      </c>
      <c r="B5" s="6" t="s">
        <v>948</v>
      </c>
      <c r="C5" s="61" t="s">
        <v>949</v>
      </c>
    </row>
    <row r="6" customFormat="false" ht="15" hidden="false" customHeight="false" outlineLevel="0" collapsed="false">
      <c r="A6" s="12" t="s">
        <v>950</v>
      </c>
      <c r="B6" s="6" t="s">
        <v>951</v>
      </c>
      <c r="C6" s="61" t="s">
        <v>952</v>
      </c>
    </row>
    <row r="7" customFormat="false" ht="15" hidden="false" customHeight="false" outlineLevel="0" collapsed="false">
      <c r="A7" s="12" t="s">
        <v>953</v>
      </c>
      <c r="B7" s="6" t="s">
        <v>954</v>
      </c>
      <c r="C7" s="61" t="s">
        <v>955</v>
      </c>
    </row>
    <row r="8" customFormat="false" ht="15" hidden="false" customHeight="false" outlineLevel="0" collapsed="false">
      <c r="A8" s="12" t="s">
        <v>956</v>
      </c>
      <c r="B8" s="6" t="s">
        <v>957</v>
      </c>
      <c r="C8" s="61" t="s">
        <v>958</v>
      </c>
    </row>
    <row r="9" customFormat="false" ht="15" hidden="false" customHeight="false" outlineLevel="0" collapsed="false">
      <c r="A9" s="12" t="s">
        <v>959</v>
      </c>
      <c r="B9" s="6" t="s">
        <v>960</v>
      </c>
      <c r="C9" s="61" t="s">
        <v>961</v>
      </c>
    </row>
    <row r="10" customFormat="false" ht="15" hidden="false" customHeight="false" outlineLevel="0" collapsed="false">
      <c r="A10" s="12" t="s">
        <v>962</v>
      </c>
      <c r="B10" s="6" t="s">
        <v>963</v>
      </c>
      <c r="C10" s="61" t="s">
        <v>964</v>
      </c>
    </row>
    <row r="11" customFormat="false" ht="15" hidden="false" customHeight="false" outlineLevel="0" collapsed="false">
      <c r="A11" s="12" t="s">
        <v>965</v>
      </c>
      <c r="B11" s="6" t="s">
        <v>966</v>
      </c>
      <c r="C11" s="61" t="s">
        <v>967</v>
      </c>
    </row>
    <row r="12" customFormat="false" ht="15" hidden="false" customHeight="false" outlineLevel="0" collapsed="false">
      <c r="A12" s="12" t="s">
        <v>968</v>
      </c>
      <c r="B12" s="6" t="s">
        <v>969</v>
      </c>
      <c r="C12" s="61" t="s">
        <v>970</v>
      </c>
    </row>
    <row r="13" customFormat="false" ht="15" hidden="false" customHeight="false" outlineLevel="0" collapsed="false">
      <c r="A13" s="12" t="s">
        <v>971</v>
      </c>
      <c r="B13" s="6" t="s">
        <v>972</v>
      </c>
      <c r="C13" s="61" t="s">
        <v>973</v>
      </c>
    </row>
    <row r="14" customFormat="false" ht="15" hidden="false" customHeight="false" outlineLevel="0" collapsed="false">
      <c r="A14" s="12" t="s">
        <v>974</v>
      </c>
      <c r="B14" s="6" t="s">
        <v>975</v>
      </c>
      <c r="C14" s="61" t="s">
        <v>976</v>
      </c>
    </row>
    <row r="15" customFormat="false" ht="15" hidden="false" customHeight="false" outlineLevel="0" collapsed="false">
      <c r="A15" s="12" t="s">
        <v>977</v>
      </c>
      <c r="B15" s="6" t="s">
        <v>978</v>
      </c>
      <c r="C15" s="61" t="s">
        <v>979</v>
      </c>
    </row>
    <row r="16" customFormat="false" ht="15" hidden="false" customHeight="false" outlineLevel="0" collapsed="false">
      <c r="A16" s="12" t="s">
        <v>980</v>
      </c>
      <c r="B16" s="6" t="s">
        <v>981</v>
      </c>
      <c r="C16" s="61" t="s">
        <v>982</v>
      </c>
    </row>
    <row r="17" customFormat="false" ht="15" hidden="false" customHeight="false" outlineLevel="0" collapsed="false">
      <c r="A17" s="12" t="s">
        <v>983</v>
      </c>
      <c r="B17" s="6" t="s">
        <v>984</v>
      </c>
      <c r="C17" s="61" t="s">
        <v>985</v>
      </c>
    </row>
    <row r="18" customFormat="false" ht="15" hidden="false" customHeight="false" outlineLevel="0" collapsed="false">
      <c r="A18" s="12" t="s">
        <v>986</v>
      </c>
      <c r="B18" s="6" t="s">
        <v>987</v>
      </c>
      <c r="C18" s="61" t="s">
        <v>988</v>
      </c>
    </row>
    <row r="19" customFormat="false" ht="15" hidden="false" customHeight="false" outlineLevel="0" collapsed="false">
      <c r="A19" s="12" t="s">
        <v>989</v>
      </c>
      <c r="B19" s="6" t="s">
        <v>990</v>
      </c>
      <c r="C19" s="61" t="s">
        <v>991</v>
      </c>
    </row>
    <row r="20" customFormat="false" ht="15" hidden="false" customHeight="false" outlineLevel="0" collapsed="false">
      <c r="A20" s="12" t="s">
        <v>992</v>
      </c>
      <c r="B20" s="6" t="s">
        <v>993</v>
      </c>
      <c r="C20" s="61" t="s">
        <v>994</v>
      </c>
    </row>
    <row r="21" customFormat="false" ht="15" hidden="false" customHeight="false" outlineLevel="0" collapsed="false">
      <c r="A21" s="12" t="s">
        <v>995</v>
      </c>
      <c r="B21" s="6" t="s">
        <v>996</v>
      </c>
      <c r="C21" s="61" t="s">
        <v>997</v>
      </c>
    </row>
    <row r="22" customFormat="false" ht="15" hidden="false" customHeight="false" outlineLevel="0" collapsed="false">
      <c r="A22" s="12" t="s">
        <v>998</v>
      </c>
      <c r="B22" s="6" t="s">
        <v>999</v>
      </c>
      <c r="C22" s="61" t="s">
        <v>1000</v>
      </c>
    </row>
    <row r="23" customFormat="false" ht="15" hidden="false" customHeight="false" outlineLevel="0" collapsed="false">
      <c r="A23" s="12" t="s">
        <v>1001</v>
      </c>
      <c r="B23" s="6" t="s">
        <v>1002</v>
      </c>
      <c r="C23" s="61" t="s">
        <v>1003</v>
      </c>
    </row>
    <row r="24" customFormat="false" ht="15" hidden="false" customHeight="false" outlineLevel="0" collapsed="false">
      <c r="A24" s="12" t="s">
        <v>1004</v>
      </c>
      <c r="B24" s="6" t="s">
        <v>1005</v>
      </c>
      <c r="C24" s="61" t="s">
        <v>1006</v>
      </c>
    </row>
    <row r="25" customFormat="false" ht="15" hidden="false" customHeight="false" outlineLevel="0" collapsed="false">
      <c r="A25" s="12" t="s">
        <v>1007</v>
      </c>
      <c r="B25" s="6" t="s">
        <v>1008</v>
      </c>
      <c r="C25" s="61" t="s">
        <v>1009</v>
      </c>
    </row>
    <row r="26" customFormat="false" ht="15" hidden="false" customHeight="false" outlineLevel="0" collapsed="false">
      <c r="A26" s="12" t="s">
        <v>1010</v>
      </c>
      <c r="B26" s="6" t="s">
        <v>1011</v>
      </c>
      <c r="C26" s="61" t="s">
        <v>1012</v>
      </c>
    </row>
    <row r="27" customFormat="false" ht="15" hidden="false" customHeight="false" outlineLevel="0" collapsed="false">
      <c r="A27" s="12" t="s">
        <v>1013</v>
      </c>
      <c r="B27" s="6" t="s">
        <v>1014</v>
      </c>
      <c r="C27" s="61" t="s">
        <v>1015</v>
      </c>
    </row>
    <row r="28" customFormat="false" ht="15" hidden="false" customHeight="false" outlineLevel="0" collapsed="false">
      <c r="A28" s="12" t="s">
        <v>1016</v>
      </c>
      <c r="B28" s="6" t="s">
        <v>1017</v>
      </c>
      <c r="C28" s="61" t="s">
        <v>1018</v>
      </c>
    </row>
    <row r="29" customFormat="false" ht="15" hidden="false" customHeight="false" outlineLevel="0" collapsed="false">
      <c r="A29" s="12" t="s">
        <v>1019</v>
      </c>
      <c r="B29" s="6" t="s">
        <v>1020</v>
      </c>
      <c r="C29" s="61" t="s">
        <v>1021</v>
      </c>
    </row>
    <row r="30" customFormat="false" ht="15" hidden="false" customHeight="false" outlineLevel="0" collapsed="false">
      <c r="A30" s="12" t="s">
        <v>1022</v>
      </c>
      <c r="B30" s="6" t="s">
        <v>1023</v>
      </c>
      <c r="C30" s="61" t="s">
        <v>1024</v>
      </c>
    </row>
    <row r="31" customFormat="false" ht="15" hidden="false" customHeight="false" outlineLevel="0" collapsed="false">
      <c r="A31" s="12" t="s">
        <v>1025</v>
      </c>
      <c r="B31" s="6" t="s">
        <v>1026</v>
      </c>
      <c r="C31" s="61" t="s">
        <v>1027</v>
      </c>
    </row>
    <row r="32" customFormat="false" ht="23.85" hidden="false" customHeight="false" outlineLevel="0" collapsed="false">
      <c r="A32" s="12" t="s">
        <v>1028</v>
      </c>
      <c r="B32" s="6" t="s">
        <v>1029</v>
      </c>
      <c r="C32" s="61" t="s">
        <v>1030</v>
      </c>
    </row>
    <row r="33" customFormat="false" ht="15" hidden="false" customHeight="false" outlineLevel="0" collapsed="false">
      <c r="A33" s="12" t="s">
        <v>1031</v>
      </c>
      <c r="B33" s="6" t="s">
        <v>1032</v>
      </c>
      <c r="C33" s="61" t="s">
        <v>1033</v>
      </c>
    </row>
    <row r="34" customFormat="false" ht="15" hidden="false" customHeight="false" outlineLevel="0" collapsed="false">
      <c r="A34" s="12" t="s">
        <v>1034</v>
      </c>
      <c r="B34" s="6" t="s">
        <v>1035</v>
      </c>
      <c r="C34" s="61" t="s">
        <v>1036</v>
      </c>
    </row>
    <row r="35" customFormat="false" ht="15" hidden="false" customHeight="false" outlineLevel="0" collapsed="false">
      <c r="A35" s="12" t="s">
        <v>1037</v>
      </c>
      <c r="B35" s="6" t="s">
        <v>1038</v>
      </c>
      <c r="C35" s="61" t="s">
        <v>1039</v>
      </c>
    </row>
    <row r="36" customFormat="false" ht="15" hidden="false" customHeight="false" outlineLevel="0" collapsed="false">
      <c r="A36" s="12" t="s">
        <v>1040</v>
      </c>
      <c r="B36" s="6" t="s">
        <v>1041</v>
      </c>
      <c r="C36" s="61" t="s">
        <v>1042</v>
      </c>
    </row>
    <row r="37" customFormat="false" ht="15" hidden="false" customHeight="false" outlineLevel="0" collapsed="false">
      <c r="A37" s="12" t="s">
        <v>1043</v>
      </c>
      <c r="B37" s="6" t="s">
        <v>1044</v>
      </c>
      <c r="C37" s="61" t="s">
        <v>1045</v>
      </c>
    </row>
    <row r="38" customFormat="false" ht="15" hidden="false" customHeight="false" outlineLevel="0" collapsed="false">
      <c r="A38" s="12" t="s">
        <v>1046</v>
      </c>
      <c r="B38" s="6" t="s">
        <v>1047</v>
      </c>
      <c r="C38" s="61" t="s">
        <v>1048</v>
      </c>
    </row>
    <row r="39" customFormat="false" ht="15" hidden="false" customHeight="false" outlineLevel="0" collapsed="false">
      <c r="A39" s="12" t="s">
        <v>1049</v>
      </c>
      <c r="B39" s="6" t="s">
        <v>1050</v>
      </c>
      <c r="C39" s="61" t="s">
        <v>1051</v>
      </c>
    </row>
    <row r="40" customFormat="false" ht="15" hidden="false" customHeight="false" outlineLevel="0" collapsed="false">
      <c r="A40" s="12" t="s">
        <v>1052</v>
      </c>
      <c r="B40" s="6" t="s">
        <v>1053</v>
      </c>
      <c r="C40" s="61" t="s">
        <v>1054</v>
      </c>
    </row>
    <row r="41" customFormat="false" ht="15" hidden="false" customHeight="false" outlineLevel="0" collapsed="false">
      <c r="A41" s="12" t="s">
        <v>1055</v>
      </c>
      <c r="B41" s="6" t="s">
        <v>1056</v>
      </c>
      <c r="C41" s="61" t="s">
        <v>1057</v>
      </c>
    </row>
    <row r="42" customFormat="false" ht="15" hidden="false" customHeight="false" outlineLevel="0" collapsed="false">
      <c r="A42" s="12" t="s">
        <v>1058</v>
      </c>
      <c r="B42" s="6" t="s">
        <v>1059</v>
      </c>
      <c r="C42" s="61" t="s">
        <v>1060</v>
      </c>
    </row>
    <row r="43" customFormat="false" ht="15" hidden="false" customHeight="false" outlineLevel="0" collapsed="false">
      <c r="A43" s="12" t="s">
        <v>1061</v>
      </c>
      <c r="B43" s="6" t="s">
        <v>1062</v>
      </c>
      <c r="C43" s="61" t="s">
        <v>1063</v>
      </c>
    </row>
    <row r="44" customFormat="false" ht="15" hidden="false" customHeight="false" outlineLevel="0" collapsed="false">
      <c r="A44" s="12" t="s">
        <v>1064</v>
      </c>
      <c r="B44" s="6" t="s">
        <v>1065</v>
      </c>
      <c r="C44" s="61" t="s">
        <v>1066</v>
      </c>
    </row>
    <row r="45" customFormat="false" ht="15" hidden="false" customHeight="false" outlineLevel="0" collapsed="false">
      <c r="A45" s="12" t="s">
        <v>1067</v>
      </c>
      <c r="B45" s="6" t="s">
        <v>1068</v>
      </c>
      <c r="C45" s="61" t="s">
        <v>1069</v>
      </c>
    </row>
    <row r="46" customFormat="false" ht="15" hidden="false" customHeight="false" outlineLevel="0" collapsed="false">
      <c r="A46" s="12" t="s">
        <v>1070</v>
      </c>
      <c r="B46" s="6" t="s">
        <v>1071</v>
      </c>
      <c r="C46" s="61" t="s">
        <v>1072</v>
      </c>
    </row>
    <row r="47" customFormat="false" ht="15" hidden="false" customHeight="false" outlineLevel="0" collapsed="false">
      <c r="A47" s="12" t="s">
        <v>1073</v>
      </c>
      <c r="B47" s="6" t="s">
        <v>1074</v>
      </c>
      <c r="C47" s="61" t="s">
        <v>1075</v>
      </c>
    </row>
    <row r="48" customFormat="false" ht="15" hidden="false" customHeight="false" outlineLevel="0" collapsed="false">
      <c r="A48" s="12" t="s">
        <v>1076</v>
      </c>
      <c r="B48" s="6" t="s">
        <v>1077</v>
      </c>
      <c r="C48" s="61" t="s">
        <v>1078</v>
      </c>
    </row>
    <row r="49" customFormat="false" ht="15" hidden="false" customHeight="false" outlineLevel="0" collapsed="false">
      <c r="A49" s="12" t="s">
        <v>1079</v>
      </c>
      <c r="B49" s="6" t="s">
        <v>1080</v>
      </c>
      <c r="C49" s="61" t="s">
        <v>1081</v>
      </c>
    </row>
    <row r="50" customFormat="false" ht="15" hidden="false" customHeight="false" outlineLevel="0" collapsed="false">
      <c r="A50" s="12" t="s">
        <v>1082</v>
      </c>
      <c r="B50" s="6" t="s">
        <v>1083</v>
      </c>
      <c r="C50" s="61" t="s">
        <v>1084</v>
      </c>
    </row>
  </sheetData>
  <hyperlinks>
    <hyperlink ref="C5" r:id="rId1" display="https://tradingeconomics.com/india/currency"/>
    <hyperlink ref="C6" r:id="rId2" display="https://www.agrifarming.in/grand-nain-g9-banana-farming-in-india-a-cultivation-guide-to-planting-to-harvesting"/>
    <hyperlink ref="C7" r:id="rId3" display="https://agropotli.com/banana-farming-in-india-complete-guide-2026/"/>
    <hyperlink ref="C8" r:id="rId4" display="https://deshgujarat.com/2024/11/11/gujarat-ranks-3rd-in-banana-production-nationwide-tops-in-productivity-per-hectare-globally/"/>
    <hyperlink ref="C9" r:id="rId5" display="https://www.swasya.com/blog/cost-to-lease-farmland-in-india"/>
    <hyperlink ref="C10" r:id="rId6" display="https://www.sgcms.com/regulatory-updates/minimum-rate-of-wages-gujarat-april-2026/"/>
    <hyperlink ref="C11" r:id="rId7" display="https://www.researchgate.net/publication/304528951_Comparative_economics_of_Banana_cultivation_in_Anand_district_of_Gujarat"/>
    <hyperlink ref="C12" r:id="rId8" display="https://www.netafimindia.com/blog/cost-and-roi-of-banana-drip-irrigation-per-acre/"/>
    <hyperlink ref="C13" r:id="rId9" display="https://www.indiamart.com/proddetail/banana-13-kg-export-corrugated-packing-box-23108020130.html"/>
    <hyperlink ref="C14" r:id="rId10" display="https://eximinternationals.com/cavendish-banana-export-packaging-specifications/"/>
    <hyperlink ref="C15" r:id="rId11" display="https://eximinternationals.com/import-bananas-from-india-to-uae"/>
    <hyperlink ref="C16" r:id="rId12" display="https://www.naturalfibercompany.com/blogs/news/the-agro-waste-problem-banana-cultivation-pseudostem-volumes-and-the-climate-cost-of-current-disposal-practices"/>
    <hyperlink ref="C17" r:id="rId13" display="https://bridgewaypower.in/blog/gujarat-gerc-ht-tariff-2026-27"/>
    <hyperlink ref="C18" r:id="rId14" display="https://al-aweer-wholesale-market-price.blogspot.com/"/>
    <hyperlink ref="C19" r:id="rId15" display="https://eximinternationals.com/import-cavendish-banana-to-uae/"/>
    <hyperlink ref="C20" r:id="rId16" display="https://www.freshplaza.com/north-america/article/9815802/middle-east-war-halts-india-s-banana-exports-prices-plunge-33/"/>
    <hyperlink ref="C21" r:id="rId17" display="https://globy.com/quick-logistics/from-india/from-mundra/to-united-arab-emirates/to-jebel-ali"/>
    <hyperlink ref="C22" r:id="rId18" display="https://www.ttl-co.com/en/blog/war-risk-surcharge-gulf-shipping-2026"/>
    <hyperlink ref="C23" r:id="rId19" display="https://straits.live/"/>
    <hyperlink ref="C24" r:id="rId20" display="https://mandipulse.com/mandi-bhav/gujarat/banana"/>
    <hyperlink ref="C25" r:id="rId21" display="https://www.bigbasket.com/pd/10000025/fresho-banana-robusta-1-kg/"/>
    <hyperlink ref="C26" r:id="rId22" display="https://nhb.gov.in/writereaddata/082825102800MIDH%20Guideline%202025.pdf"/>
    <hyperlink ref="C27" r:id="rId23" display="https://schemesinindia.in/central/agri-infrastructure-fund"/>
    <hyperlink ref="C28" r:id="rId24" display="https://www.indiamart.com/proddetail/integrated-garding-packing-pack-house-25383226455.html"/>
    <hyperlink ref="C29" r:id="rId25" display="https://phoenixxsmartbuild.com/resources/blogs/cold-storage-cost-per-mt-india"/>
    <hyperlink ref="C30" r:id="rId26" display="https://www.nsspl.in/banana-ripening-chamber-project-cost/"/>
    <hyperlink ref="C31" r:id="rId27" display="https://dir.indiamart.com/impcat/banana-flour.html"/>
    <hyperlink ref="C32" r:id="rId28" display="https://www.naturalfibercompany.com/blogs/banana-fiber-sustainable-textiles/banana-fiber-extraction-process-methods-machines-commercial-scale"/>
    <hyperlink ref="C33" r:id="rId29" display="https://dir.indiamart.com/impcat/banana-fiber.html"/>
    <hyperlink ref="C34" r:id="rId30" display="https://www.indiamart.com/proddetail/banana-pseudostem-based-organic-liquid-fertilizer-21091753830.html"/>
    <hyperlink ref="C35" r:id="rId31" display="https://dir.indiamart.com/ahmedabad/vermi-compost-fertilizer.html"/>
    <hyperlink ref="C36" r:id="rId32" display="https://nhb.gov.in/Training/Brochure/FRT_Banana_DesaiFruits.pdf"/>
    <hyperlink ref="C37" r:id="rId33" display="https://www.fmax.in/cold-room-power-requirements-how-to-calculate/"/>
    <hyperlink ref="C38" r:id="rId34" display="https://www.kisandeals.com/mandiprices/PAPAYA/GUJARAT/ALL"/>
    <hyperlink ref="C39" r:id="rId35" display="https://www.bigbasket.com/pd/30000974/fresho-kesar-mango-1-kg/"/>
    <hyperlink ref="C40" r:id="rId36" display="https://www.indiamart.com/proddetail/mango-corrugated-box-20091039688.html"/>
    <hyperlink ref="C41" r:id="rId37" display="https://www.vibesofindia.com/early-bloom-signals-april-arrival-for-gujarats-kesar-mangoes/"/>
    <hyperlink ref="C42" r:id="rId38" display="https://dir.indiamart.com/talala/kesar-mango.html"/>
    <hyperlink ref="C43" r:id="rId39" display="https://www.agrifarming.in/red-lady-taiwan-papaya-farming-in-india-how-to-start-yield-care-and-management"/>
    <hyperlink ref="C44" r:id="rId40" display="https://journalajaees.com/index.php/AJAEES/article/view/2190"/>
    <hyperlink ref="C45" r:id="rId41" display="https://www.apnikheti.com/en/pn/agriculture/crops/green-manure/sunhemp"/>
    <hyperlink ref="C46" r:id="rId42" display="https://www.freshplaza.com/north-america/article/9814720/gujarat-watermelons-lead-india-s-strong-2026-export-start/"/>
    <hyperlink ref="C47" r:id="rId43" display="https://www.promusa.org/Crop+rotation"/>
    <hyperlink ref="C48" r:id="rId44" display="https://wscpantry.org/wp-content/uploads/2024/01/TEMP_GUIDELINES.pdf"/>
    <hyperlink ref="C49" r:id="rId45" display="https://www.commodityonline.com/mandiprices/chikoos-sapota/gujarat/valsad"/>
    <hyperlink ref="C50" r:id="rId46" display="https://dir.indiamart.com/kutch/fresh-pomegranates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.38"/>
    <col collapsed="false" customWidth="true" hidden="false" outlineLevel="0" max="2" min="2" style="0" width="18.75"/>
    <col collapsed="false" customWidth="true" hidden="false" outlineLevel="0" max="3" min="3" style="0" width="15.75"/>
    <col collapsed="false" customWidth="true" hidden="false" outlineLevel="0" max="4" min="4" style="0" width="33.13"/>
    <col collapsed="false" customWidth="true" hidden="false" outlineLevel="0" max="5" min="5" style="0" width="10.38"/>
    <col collapsed="false" customWidth="true" hidden="false" outlineLevel="0" max="6" min="6" style="0" width="25.75"/>
  </cols>
  <sheetData>
    <row r="1" customFormat="false" ht="28.35" hidden="false" customHeight="false" outlineLevel="0" collapsed="false">
      <c r="A1" s="62" t="s">
        <v>1085</v>
      </c>
      <c r="B1" s="62" t="s">
        <v>1086</v>
      </c>
      <c r="C1" s="63" t="s">
        <v>1087</v>
      </c>
      <c r="D1" s="62" t="s">
        <v>1088</v>
      </c>
      <c r="I1" s="2" t="s">
        <v>1089</v>
      </c>
    </row>
    <row r="2" customFormat="false" ht="15" hidden="false" customHeight="false" outlineLevel="0" collapsed="false">
      <c r="A2" s="64" t="s">
        <v>1090</v>
      </c>
      <c r="B2" s="64" t="s">
        <v>1091</v>
      </c>
      <c r="C2" s="64" t="s">
        <v>1092</v>
      </c>
      <c r="D2" s="65" t="s">
        <v>1093</v>
      </c>
    </row>
    <row r="3" customFormat="false" ht="15" hidden="false" customHeight="false" outlineLevel="0" collapsed="false">
      <c r="A3" s="64" t="s">
        <v>1094</v>
      </c>
      <c r="B3" s="64" t="s">
        <v>1095</v>
      </c>
      <c r="C3" s="64" t="s">
        <v>1096</v>
      </c>
      <c r="D3" s="65" t="s">
        <v>1097</v>
      </c>
    </row>
    <row r="4" customFormat="false" ht="102.95" hidden="false" customHeight="false" outlineLevel="0" collapsed="false">
      <c r="A4" s="66" t="s">
        <v>1098</v>
      </c>
      <c r="B4" s="66" t="s">
        <v>1099</v>
      </c>
      <c r="C4" s="66" t="s">
        <v>1100</v>
      </c>
      <c r="D4" s="67" t="s">
        <v>1101</v>
      </c>
      <c r="E4" s="68" t="s">
        <v>1102</v>
      </c>
      <c r="F4" s="69" t="s">
        <v>1103</v>
      </c>
      <c r="G4" s="70" t="s">
        <v>1104</v>
      </c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customFormat="false" ht="15" hidden="false" customHeight="false" outlineLevel="0" collapsed="false">
      <c r="A5" s="64" t="s">
        <v>1105</v>
      </c>
      <c r="B5" s="64" t="s">
        <v>1106</v>
      </c>
      <c r="C5" s="64" t="s">
        <v>1107</v>
      </c>
      <c r="D5" s="65" t="s">
        <v>1108</v>
      </c>
    </row>
    <row r="6" customFormat="false" ht="15" hidden="false" customHeight="false" outlineLevel="0" collapsed="false">
      <c r="A6" s="64" t="s">
        <v>1109</v>
      </c>
      <c r="B6" s="64"/>
      <c r="C6" s="64"/>
      <c r="D6" s="65"/>
    </row>
    <row r="7" customFormat="false" ht="15" hidden="false" customHeight="false" outlineLevel="0" collapsed="false">
      <c r="A7" s="64" t="s">
        <v>1110</v>
      </c>
      <c r="B7" s="64"/>
      <c r="C7" s="64"/>
      <c r="D7" s="65"/>
    </row>
    <row r="8" customFormat="false" ht="15" hidden="false" customHeight="false" outlineLevel="0" collapsed="false">
      <c r="A8" s="64" t="s">
        <v>1111</v>
      </c>
      <c r="B8" s="64"/>
      <c r="C8" s="64"/>
      <c r="D8" s="65"/>
    </row>
    <row r="9" customFormat="false" ht="15" hidden="false" customHeight="false" outlineLevel="0" collapsed="false">
      <c r="A9" s="64" t="s">
        <v>1112</v>
      </c>
      <c r="B9" s="64"/>
      <c r="C9" s="64"/>
      <c r="D9" s="65"/>
    </row>
    <row r="10" customFormat="false" ht="15" hidden="false" customHeight="false" outlineLevel="0" collapsed="false">
      <c r="A10" s="64" t="s">
        <v>1113</v>
      </c>
      <c r="B10" s="64"/>
      <c r="C10" s="64"/>
      <c r="D10" s="65"/>
    </row>
    <row r="11" customFormat="false" ht="15" hidden="false" customHeight="false" outlineLevel="0" collapsed="false">
      <c r="A11" s="64"/>
      <c r="B11" s="64"/>
      <c r="C11" s="64"/>
      <c r="D11" s="65"/>
    </row>
    <row r="12" customFormat="false" ht="15" hidden="false" customHeight="false" outlineLevel="0" collapsed="false">
      <c r="A12" s="64" t="s">
        <v>1114</v>
      </c>
      <c r="B12" s="64" t="s">
        <v>1115</v>
      </c>
      <c r="C12" s="64" t="s">
        <v>1116</v>
      </c>
      <c r="D12" s="65" t="s">
        <v>1117</v>
      </c>
    </row>
    <row r="13" customFormat="false" ht="15" hidden="false" customHeight="false" outlineLevel="0" collapsed="false">
      <c r="A13" s="64"/>
      <c r="B13" s="64"/>
      <c r="C13" s="64"/>
      <c r="D13" s="65"/>
    </row>
    <row r="14" customFormat="false" ht="15" hidden="false" customHeight="false" outlineLevel="0" collapsed="false">
      <c r="A14" s="64" t="s">
        <v>1118</v>
      </c>
      <c r="B14" s="64" t="s">
        <v>1119</v>
      </c>
      <c r="C14" s="64" t="s">
        <v>1120</v>
      </c>
      <c r="D14" s="65" t="s">
        <v>1121</v>
      </c>
    </row>
    <row r="15" customFormat="false" ht="15" hidden="false" customHeight="false" outlineLevel="0" collapsed="false">
      <c r="A15" s="64" t="s">
        <v>1122</v>
      </c>
      <c r="B15" s="64" t="s">
        <v>1123</v>
      </c>
      <c r="C15" s="64" t="s">
        <v>1124</v>
      </c>
      <c r="D15" s="65" t="s">
        <v>1125</v>
      </c>
    </row>
    <row r="16" customFormat="false" ht="15" hidden="false" customHeight="false" outlineLevel="0" collapsed="false">
      <c r="A16" s="64" t="s">
        <v>1126</v>
      </c>
      <c r="B16" s="64" t="s">
        <v>1127</v>
      </c>
      <c r="C16" s="64" t="s">
        <v>1128</v>
      </c>
      <c r="D16" s="65" t="s">
        <v>1129</v>
      </c>
    </row>
    <row r="17" customFormat="false" ht="64.9" hidden="false" customHeight="false" outlineLevel="0" collapsed="false">
      <c r="A17" s="66" t="s">
        <v>1130</v>
      </c>
      <c r="B17" s="66" t="s">
        <v>1131</v>
      </c>
      <c r="C17" s="66" t="s">
        <v>1132</v>
      </c>
      <c r="D17" s="67" t="s">
        <v>1133</v>
      </c>
      <c r="E17" s="68" t="s">
        <v>1102</v>
      </c>
      <c r="F17" s="69" t="s">
        <v>1134</v>
      </c>
      <c r="G17" s="70" t="s">
        <v>1135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customFormat="false" ht="15" hidden="false" customHeight="false" outlineLevel="0" collapsed="false">
      <c r="A18" s="64" t="s">
        <v>1136</v>
      </c>
      <c r="B18" s="64" t="s">
        <v>1137</v>
      </c>
      <c r="C18" s="64" t="s">
        <v>1138</v>
      </c>
      <c r="D18" s="64" t="s">
        <v>1139</v>
      </c>
    </row>
    <row r="19" customFormat="false" ht="15" hidden="false" customHeight="false" outlineLevel="0" collapsed="false">
      <c r="D19" s="71"/>
    </row>
    <row r="20" customFormat="false" ht="15" hidden="false" customHeight="false" outlineLevel="0" collapsed="false">
      <c r="A20" s="71" t="s">
        <v>1140</v>
      </c>
      <c r="D20" s="71"/>
    </row>
    <row r="21" customFormat="false" ht="15" hidden="false" customHeight="false" outlineLevel="0" collapsed="false">
      <c r="A21" s="71" t="s">
        <v>1141</v>
      </c>
      <c r="D21" s="71"/>
    </row>
    <row r="22" customFormat="false" ht="15" hidden="false" customHeight="false" outlineLevel="0" collapsed="false">
      <c r="A22" s="71" t="s">
        <v>1142</v>
      </c>
      <c r="D22" s="71"/>
    </row>
    <row r="23" customFormat="false" ht="15" hidden="false" customHeight="false" outlineLevel="0" collapsed="false">
      <c r="A23" s="71" t="s">
        <v>1143</v>
      </c>
      <c r="D23" s="71"/>
    </row>
    <row r="24" customFormat="false" ht="15" hidden="false" customHeight="false" outlineLevel="0" collapsed="false">
      <c r="D24" s="71"/>
    </row>
    <row r="25" customFormat="false" ht="15" hidden="false" customHeight="false" outlineLevel="0" collapsed="false">
      <c r="A25" s="71" t="s">
        <v>1144</v>
      </c>
      <c r="B25" s="71" t="n">
        <v>14</v>
      </c>
      <c r="D25" s="71"/>
    </row>
    <row r="26" customFormat="false" ht="15" hidden="false" customHeight="false" outlineLevel="0" collapsed="false">
      <c r="A26" s="71" t="s">
        <v>1145</v>
      </c>
      <c r="B26" s="71"/>
      <c r="D26" s="71"/>
    </row>
    <row r="27" customFormat="false" ht="15" hidden="false" customHeight="false" outlineLevel="0" collapsed="false">
      <c r="A27" s="71" t="s">
        <v>1146</v>
      </c>
      <c r="B27" s="71"/>
      <c r="D27" s="71"/>
    </row>
    <row r="28" customFormat="false" ht="15" hidden="false" customHeight="false" outlineLevel="0" collapsed="false">
      <c r="A28" s="71" t="s">
        <v>1147</v>
      </c>
      <c r="B28" s="71"/>
      <c r="D28" s="71"/>
    </row>
    <row r="29" customFormat="false" ht="15" hidden="false" customHeight="false" outlineLevel="0" collapsed="false">
      <c r="A29" s="71" t="s">
        <v>1148</v>
      </c>
      <c r="B29" s="71"/>
      <c r="D29" s="71"/>
    </row>
    <row r="30" customFormat="false" ht="15" hidden="false" customHeight="false" outlineLevel="0" collapsed="false">
      <c r="A30" s="71" t="s">
        <v>1149</v>
      </c>
      <c r="B30" s="71"/>
      <c r="D30" s="71"/>
    </row>
    <row r="31" customFormat="false" ht="15" hidden="false" customHeight="false" outlineLevel="0" collapsed="false">
      <c r="A31" s="71" t="s">
        <v>1150</v>
      </c>
      <c r="B31" s="71"/>
      <c r="D31" s="71"/>
    </row>
    <row r="32" customFormat="false" ht="15" hidden="false" customHeight="false" outlineLevel="0" collapsed="false">
      <c r="D32" s="71"/>
    </row>
    <row r="33" customFormat="false" ht="15" hidden="false" customHeight="false" outlineLevel="0" collapsed="false">
      <c r="A33" s="72" t="s">
        <v>1151</v>
      </c>
      <c r="D33" s="71"/>
    </row>
    <row r="34" customFormat="false" ht="15" hidden="false" customHeight="false" outlineLevel="0" collapsed="false">
      <c r="A34" s="73" t="s">
        <v>1152</v>
      </c>
      <c r="B34" s="71" t="n">
        <v>1</v>
      </c>
      <c r="D34" s="71"/>
    </row>
    <row r="35" customFormat="false" ht="15" hidden="false" customHeight="false" outlineLevel="0" collapsed="false">
      <c r="A35" s="73" t="s">
        <v>1153</v>
      </c>
      <c r="B35" s="71"/>
      <c r="D35" s="71"/>
    </row>
    <row r="36" customFormat="false" ht="15" hidden="false" customHeight="false" outlineLevel="0" collapsed="false">
      <c r="D36" s="71"/>
    </row>
    <row r="37" customFormat="false" ht="15" hidden="false" customHeight="false" outlineLevel="0" collapsed="false">
      <c r="A37" s="72" t="s">
        <v>1154</v>
      </c>
      <c r="D37" s="71"/>
    </row>
    <row r="38" customFormat="false" ht="15" hidden="false" customHeight="false" outlineLevel="0" collapsed="false">
      <c r="A38" s="71" t="s">
        <v>1148</v>
      </c>
      <c r="D38" s="71"/>
    </row>
    <row r="39" customFormat="false" ht="15" hidden="false" customHeight="false" outlineLevel="0" collapsed="false">
      <c r="A39" s="71" t="s">
        <v>1155</v>
      </c>
      <c r="D39" s="71"/>
    </row>
    <row r="40" customFormat="false" ht="15" hidden="false" customHeight="false" outlineLevel="0" collapsed="false">
      <c r="A40" s="71" t="s">
        <v>1156</v>
      </c>
      <c r="D40" s="71"/>
    </row>
    <row r="41" customFormat="false" ht="15" hidden="false" customHeight="false" outlineLevel="0" collapsed="false">
      <c r="A41" s="71" t="s">
        <v>1157</v>
      </c>
      <c r="D41" s="71"/>
    </row>
    <row r="42" customFormat="false" ht="15" hidden="false" customHeight="false" outlineLevel="0" collapsed="false">
      <c r="A42" s="71" t="s">
        <v>1158</v>
      </c>
      <c r="D42" s="71"/>
    </row>
    <row r="43" customFormat="false" ht="15" hidden="false" customHeight="false" outlineLevel="0" collapsed="false">
      <c r="A43" s="71" t="s">
        <v>1159</v>
      </c>
      <c r="D43" s="71"/>
    </row>
    <row r="44" customFormat="false" ht="15" hidden="false" customHeight="false" outlineLevel="0" collapsed="false">
      <c r="D44" s="71"/>
    </row>
    <row r="45" customFormat="false" ht="15" hidden="false" customHeight="false" outlineLevel="0" collapsed="false">
      <c r="D45" s="71"/>
    </row>
    <row r="46" customFormat="false" ht="15" hidden="false" customHeight="false" outlineLevel="0" collapsed="false">
      <c r="A46" s="71" t="s">
        <v>1160</v>
      </c>
      <c r="D46" s="71"/>
    </row>
    <row r="47" customFormat="false" ht="15" hidden="false" customHeight="false" outlineLevel="0" collapsed="false">
      <c r="D47" s="71"/>
    </row>
    <row r="48" customFormat="false" ht="15" hidden="false" customHeight="false" outlineLevel="0" collapsed="false">
      <c r="D48" s="71"/>
    </row>
    <row r="49" customFormat="false" ht="15" hidden="false" customHeight="false" outlineLevel="0" collapsed="false">
      <c r="A49" s="72" t="s">
        <v>1161</v>
      </c>
      <c r="D49" s="71"/>
    </row>
    <row r="50" customFormat="false" ht="15" hidden="false" customHeight="false" outlineLevel="0" collapsed="false">
      <c r="A50" s="71" t="s">
        <v>1162</v>
      </c>
      <c r="D50" s="71"/>
    </row>
    <row r="51" customFormat="false" ht="15" hidden="false" customHeight="false" outlineLevel="0" collapsed="false">
      <c r="A51" s="71" t="s">
        <v>1163</v>
      </c>
      <c r="D51" s="71"/>
    </row>
    <row r="52" customFormat="false" ht="15" hidden="false" customHeight="false" outlineLevel="0" collapsed="false">
      <c r="A52" s="71" t="s">
        <v>1164</v>
      </c>
      <c r="D52" s="71"/>
    </row>
    <row r="53" customFormat="false" ht="15" hidden="false" customHeight="false" outlineLevel="0" collapsed="false">
      <c r="A53" s="71" t="s">
        <v>1165</v>
      </c>
      <c r="D53" s="71"/>
    </row>
    <row r="54" customFormat="false" ht="15" hidden="false" customHeight="false" outlineLevel="0" collapsed="false">
      <c r="A54" s="71" t="s">
        <v>1166</v>
      </c>
      <c r="D54" s="71"/>
    </row>
    <row r="55" customFormat="false" ht="15" hidden="false" customHeight="false" outlineLevel="0" collapsed="false">
      <c r="A55" s="70" t="s">
        <v>1167</v>
      </c>
      <c r="D55" s="71"/>
    </row>
    <row r="56" customFormat="false" ht="15" hidden="false" customHeight="false" outlineLevel="0" collapsed="false">
      <c r="D56" s="71"/>
    </row>
    <row r="57" customFormat="false" ht="15" hidden="false" customHeight="false" outlineLevel="0" collapsed="false">
      <c r="D57" s="71"/>
    </row>
    <row r="58" customFormat="false" ht="15" hidden="false" customHeight="false" outlineLevel="0" collapsed="false">
      <c r="D58" s="71"/>
    </row>
    <row r="59" customFormat="false" ht="15" hidden="false" customHeight="false" outlineLevel="0" collapsed="false">
      <c r="D59" s="71"/>
    </row>
    <row r="60" customFormat="false" ht="15" hidden="false" customHeight="false" outlineLevel="0" collapsed="false">
      <c r="D60" s="71"/>
    </row>
    <row r="61" customFormat="false" ht="15" hidden="false" customHeight="false" outlineLevel="0" collapsed="false">
      <c r="D61" s="71"/>
    </row>
    <row r="62" customFormat="false" ht="15" hidden="false" customHeight="false" outlineLevel="0" collapsed="false">
      <c r="D62" s="71"/>
    </row>
    <row r="63" customFormat="false" ht="15" hidden="false" customHeight="false" outlineLevel="0" collapsed="false">
      <c r="D63" s="71"/>
    </row>
    <row r="64" customFormat="false" ht="15" hidden="false" customHeight="false" outlineLevel="0" collapsed="false">
      <c r="D64" s="71"/>
    </row>
    <row r="65" customFormat="false" ht="15" hidden="false" customHeight="false" outlineLevel="0" collapsed="false">
      <c r="D65" s="71"/>
    </row>
    <row r="66" customFormat="false" ht="15" hidden="false" customHeight="false" outlineLevel="0" collapsed="false">
      <c r="D66" s="71"/>
    </row>
    <row r="67" customFormat="false" ht="15" hidden="false" customHeight="false" outlineLevel="0" collapsed="false">
      <c r="D67" s="71"/>
    </row>
    <row r="68" customFormat="false" ht="15" hidden="false" customHeight="false" outlineLevel="0" collapsed="false">
      <c r="D68" s="71"/>
    </row>
    <row r="69" customFormat="false" ht="15" hidden="false" customHeight="false" outlineLevel="0" collapsed="false">
      <c r="D69" s="71"/>
    </row>
    <row r="70" customFormat="false" ht="15" hidden="false" customHeight="false" outlineLevel="0" collapsed="false">
      <c r="D70" s="71"/>
    </row>
    <row r="71" customFormat="false" ht="15" hidden="false" customHeight="false" outlineLevel="0" collapsed="false">
      <c r="D71" s="71"/>
    </row>
    <row r="72" customFormat="false" ht="15" hidden="false" customHeight="false" outlineLevel="0" collapsed="false">
      <c r="D72" s="71"/>
    </row>
    <row r="73" customFormat="false" ht="15" hidden="false" customHeight="false" outlineLevel="0" collapsed="false">
      <c r="D73" s="71"/>
    </row>
    <row r="74" customFormat="false" ht="15" hidden="false" customHeight="false" outlineLevel="0" collapsed="false">
      <c r="D74" s="71"/>
    </row>
    <row r="75" customFormat="false" ht="15" hidden="false" customHeight="false" outlineLevel="0" collapsed="false">
      <c r="D75" s="71"/>
    </row>
    <row r="76" customFormat="false" ht="15" hidden="false" customHeight="false" outlineLevel="0" collapsed="false">
      <c r="D76" s="71"/>
    </row>
    <row r="77" customFormat="false" ht="15" hidden="false" customHeight="false" outlineLevel="0" collapsed="false">
      <c r="D77" s="71"/>
    </row>
    <row r="78" customFormat="false" ht="15" hidden="false" customHeight="false" outlineLevel="0" collapsed="false">
      <c r="D78" s="71"/>
    </row>
    <row r="79" customFormat="false" ht="15" hidden="false" customHeight="false" outlineLevel="0" collapsed="false">
      <c r="D79" s="71"/>
    </row>
    <row r="80" customFormat="false" ht="15" hidden="false" customHeight="false" outlineLevel="0" collapsed="false">
      <c r="D80" s="71"/>
    </row>
    <row r="81" customFormat="false" ht="15" hidden="false" customHeight="false" outlineLevel="0" collapsed="false">
      <c r="D81" s="71"/>
    </row>
    <row r="82" customFormat="false" ht="15" hidden="false" customHeight="false" outlineLevel="0" collapsed="false">
      <c r="D82" s="71"/>
    </row>
    <row r="83" customFormat="false" ht="15" hidden="false" customHeight="false" outlineLevel="0" collapsed="false">
      <c r="D83" s="71"/>
    </row>
    <row r="84" customFormat="false" ht="15" hidden="false" customHeight="false" outlineLevel="0" collapsed="false">
      <c r="D84" s="71"/>
    </row>
    <row r="85" customFormat="false" ht="15" hidden="false" customHeight="false" outlineLevel="0" collapsed="false">
      <c r="D85" s="71"/>
    </row>
    <row r="86" customFormat="false" ht="15" hidden="false" customHeight="false" outlineLevel="0" collapsed="false">
      <c r="D86" s="71"/>
    </row>
    <row r="87" customFormat="false" ht="15" hidden="false" customHeight="false" outlineLevel="0" collapsed="false">
      <c r="D87" s="71"/>
    </row>
    <row r="88" customFormat="false" ht="15" hidden="false" customHeight="false" outlineLevel="0" collapsed="false">
      <c r="D88" s="71"/>
    </row>
    <row r="89" customFormat="false" ht="15" hidden="false" customHeight="false" outlineLevel="0" collapsed="false">
      <c r="D89" s="71"/>
    </row>
    <row r="90" customFormat="false" ht="15" hidden="false" customHeight="false" outlineLevel="0" collapsed="false">
      <c r="D90" s="71"/>
    </row>
    <row r="91" customFormat="false" ht="15" hidden="false" customHeight="false" outlineLevel="0" collapsed="false">
      <c r="D91" s="71"/>
    </row>
    <row r="92" customFormat="false" ht="15" hidden="false" customHeight="false" outlineLevel="0" collapsed="false">
      <c r="D92" s="71"/>
    </row>
    <row r="93" customFormat="false" ht="15" hidden="false" customHeight="false" outlineLevel="0" collapsed="false">
      <c r="D93" s="71"/>
    </row>
    <row r="94" customFormat="false" ht="15" hidden="false" customHeight="false" outlineLevel="0" collapsed="false">
      <c r="D94" s="71"/>
    </row>
    <row r="95" customFormat="false" ht="15" hidden="false" customHeight="false" outlineLevel="0" collapsed="false">
      <c r="D95" s="71"/>
    </row>
    <row r="96" customFormat="false" ht="15" hidden="false" customHeight="false" outlineLevel="0" collapsed="false">
      <c r="D96" s="71"/>
    </row>
    <row r="97" customFormat="false" ht="15" hidden="false" customHeight="false" outlineLevel="0" collapsed="false">
      <c r="D97" s="71"/>
    </row>
    <row r="98" customFormat="false" ht="15" hidden="false" customHeight="false" outlineLevel="0" collapsed="false">
      <c r="D98" s="71"/>
    </row>
    <row r="99" customFormat="false" ht="15" hidden="false" customHeight="false" outlineLevel="0" collapsed="false">
      <c r="D99" s="71"/>
    </row>
    <row r="100" customFormat="false" ht="15" hidden="false" customHeight="false" outlineLevel="0" collapsed="false">
      <c r="D100" s="71"/>
    </row>
    <row r="101" customFormat="false" ht="15" hidden="false" customHeight="false" outlineLevel="0" collapsed="false">
      <c r="D101" s="71"/>
    </row>
    <row r="102" customFormat="false" ht="15" hidden="false" customHeight="false" outlineLevel="0" collapsed="false">
      <c r="D102" s="71"/>
    </row>
    <row r="103" customFormat="false" ht="15" hidden="false" customHeight="false" outlineLevel="0" collapsed="false">
      <c r="D103" s="71"/>
    </row>
    <row r="104" customFormat="false" ht="15" hidden="false" customHeight="false" outlineLevel="0" collapsed="false">
      <c r="D104" s="71"/>
    </row>
    <row r="105" customFormat="false" ht="15" hidden="false" customHeight="false" outlineLevel="0" collapsed="false">
      <c r="D105" s="71"/>
    </row>
    <row r="106" customFormat="false" ht="15" hidden="false" customHeight="false" outlineLevel="0" collapsed="false">
      <c r="D106" s="71"/>
    </row>
    <row r="107" customFormat="false" ht="15" hidden="false" customHeight="false" outlineLevel="0" collapsed="false">
      <c r="D107" s="71"/>
    </row>
    <row r="108" customFormat="false" ht="15" hidden="false" customHeight="false" outlineLevel="0" collapsed="false">
      <c r="D108" s="71"/>
    </row>
    <row r="109" customFormat="false" ht="15" hidden="false" customHeight="false" outlineLevel="0" collapsed="false">
      <c r="D109" s="71"/>
    </row>
    <row r="110" customFormat="false" ht="15" hidden="false" customHeight="false" outlineLevel="0" collapsed="false">
      <c r="D110" s="71"/>
    </row>
    <row r="111" customFormat="false" ht="15" hidden="false" customHeight="false" outlineLevel="0" collapsed="false">
      <c r="D111" s="71"/>
    </row>
    <row r="112" customFormat="false" ht="15" hidden="false" customHeight="false" outlineLevel="0" collapsed="false">
      <c r="D112" s="71"/>
    </row>
    <row r="113" customFormat="false" ht="15" hidden="false" customHeight="false" outlineLevel="0" collapsed="false">
      <c r="D113" s="71"/>
    </row>
    <row r="114" customFormat="false" ht="15" hidden="false" customHeight="false" outlineLevel="0" collapsed="false">
      <c r="D114" s="71"/>
    </row>
    <row r="115" customFormat="false" ht="15" hidden="false" customHeight="false" outlineLevel="0" collapsed="false">
      <c r="D115" s="71"/>
    </row>
    <row r="116" customFormat="false" ht="15" hidden="false" customHeight="false" outlineLevel="0" collapsed="false">
      <c r="D116" s="71"/>
    </row>
    <row r="117" customFormat="false" ht="15" hidden="false" customHeight="false" outlineLevel="0" collapsed="false">
      <c r="D117" s="71"/>
    </row>
    <row r="118" customFormat="false" ht="15" hidden="false" customHeight="false" outlineLevel="0" collapsed="false">
      <c r="D118" s="71"/>
    </row>
    <row r="119" customFormat="false" ht="15" hidden="false" customHeight="false" outlineLevel="0" collapsed="false">
      <c r="D119" s="71"/>
    </row>
    <row r="120" customFormat="false" ht="15" hidden="false" customHeight="false" outlineLevel="0" collapsed="false">
      <c r="D120" s="71"/>
    </row>
    <row r="121" customFormat="false" ht="15" hidden="false" customHeight="false" outlineLevel="0" collapsed="false">
      <c r="D121" s="71"/>
    </row>
    <row r="122" customFormat="false" ht="15" hidden="false" customHeight="false" outlineLevel="0" collapsed="false">
      <c r="D122" s="71"/>
    </row>
    <row r="123" customFormat="false" ht="15" hidden="false" customHeight="false" outlineLevel="0" collapsed="false">
      <c r="D123" s="71"/>
    </row>
    <row r="124" customFormat="false" ht="15" hidden="false" customHeight="false" outlineLevel="0" collapsed="false">
      <c r="D124" s="71"/>
    </row>
    <row r="125" customFormat="false" ht="15" hidden="false" customHeight="false" outlineLevel="0" collapsed="false">
      <c r="D125" s="71"/>
    </row>
    <row r="126" customFormat="false" ht="15" hidden="false" customHeight="false" outlineLevel="0" collapsed="false">
      <c r="D126" s="71"/>
    </row>
    <row r="127" customFormat="false" ht="15" hidden="false" customHeight="false" outlineLevel="0" collapsed="false">
      <c r="D127" s="71"/>
    </row>
    <row r="128" customFormat="false" ht="15" hidden="false" customHeight="false" outlineLevel="0" collapsed="false">
      <c r="D128" s="71"/>
    </row>
    <row r="129" customFormat="false" ht="15" hidden="false" customHeight="false" outlineLevel="0" collapsed="false">
      <c r="D129" s="71"/>
    </row>
    <row r="130" customFormat="false" ht="15" hidden="false" customHeight="false" outlineLevel="0" collapsed="false">
      <c r="D130" s="71"/>
    </row>
    <row r="131" customFormat="false" ht="15" hidden="false" customHeight="false" outlineLevel="0" collapsed="false">
      <c r="D131" s="71"/>
    </row>
    <row r="132" customFormat="false" ht="15" hidden="false" customHeight="false" outlineLevel="0" collapsed="false">
      <c r="D132" s="71"/>
    </row>
    <row r="133" customFormat="false" ht="15" hidden="false" customHeight="false" outlineLevel="0" collapsed="false">
      <c r="D133" s="71"/>
    </row>
    <row r="134" customFormat="false" ht="15" hidden="false" customHeight="false" outlineLevel="0" collapsed="false">
      <c r="D134" s="71"/>
    </row>
    <row r="135" customFormat="false" ht="15" hidden="false" customHeight="false" outlineLevel="0" collapsed="false">
      <c r="D135" s="71"/>
    </row>
    <row r="136" customFormat="false" ht="15" hidden="false" customHeight="false" outlineLevel="0" collapsed="false">
      <c r="D136" s="71"/>
    </row>
    <row r="137" customFormat="false" ht="15" hidden="false" customHeight="false" outlineLevel="0" collapsed="false">
      <c r="D137" s="71"/>
    </row>
    <row r="138" customFormat="false" ht="15" hidden="false" customHeight="false" outlineLevel="0" collapsed="false">
      <c r="D138" s="71"/>
    </row>
    <row r="139" customFormat="false" ht="15" hidden="false" customHeight="false" outlineLevel="0" collapsed="false">
      <c r="D139" s="71"/>
    </row>
    <row r="140" customFormat="false" ht="15" hidden="false" customHeight="false" outlineLevel="0" collapsed="false">
      <c r="D140" s="71"/>
    </row>
    <row r="141" customFormat="false" ht="15" hidden="false" customHeight="false" outlineLevel="0" collapsed="false">
      <c r="D141" s="71"/>
    </row>
    <row r="142" customFormat="false" ht="15" hidden="false" customHeight="false" outlineLevel="0" collapsed="false">
      <c r="D142" s="71"/>
    </row>
    <row r="143" customFormat="false" ht="15" hidden="false" customHeight="false" outlineLevel="0" collapsed="false">
      <c r="D143" s="71"/>
    </row>
    <row r="144" customFormat="false" ht="15" hidden="false" customHeight="false" outlineLevel="0" collapsed="false">
      <c r="D144" s="71"/>
    </row>
    <row r="145" customFormat="false" ht="15" hidden="false" customHeight="false" outlineLevel="0" collapsed="false">
      <c r="D145" s="71"/>
    </row>
    <row r="146" customFormat="false" ht="15" hidden="false" customHeight="false" outlineLevel="0" collapsed="false">
      <c r="D146" s="71"/>
    </row>
    <row r="147" customFormat="false" ht="15" hidden="false" customHeight="false" outlineLevel="0" collapsed="false">
      <c r="D147" s="71"/>
    </row>
    <row r="148" customFormat="false" ht="15" hidden="false" customHeight="false" outlineLevel="0" collapsed="false">
      <c r="D148" s="71"/>
    </row>
    <row r="149" customFormat="false" ht="15" hidden="false" customHeight="false" outlineLevel="0" collapsed="false">
      <c r="D149" s="71"/>
    </row>
    <row r="150" customFormat="false" ht="15" hidden="false" customHeight="false" outlineLevel="0" collapsed="false">
      <c r="D150" s="71"/>
    </row>
    <row r="151" customFormat="false" ht="15" hidden="false" customHeight="false" outlineLevel="0" collapsed="false">
      <c r="D151" s="71"/>
    </row>
    <row r="152" customFormat="false" ht="15" hidden="false" customHeight="false" outlineLevel="0" collapsed="false">
      <c r="D152" s="71"/>
    </row>
    <row r="153" customFormat="false" ht="15" hidden="false" customHeight="false" outlineLevel="0" collapsed="false">
      <c r="D153" s="71"/>
    </row>
    <row r="154" customFormat="false" ht="15" hidden="false" customHeight="false" outlineLevel="0" collapsed="false">
      <c r="D154" s="71"/>
    </row>
    <row r="155" customFormat="false" ht="15" hidden="false" customHeight="false" outlineLevel="0" collapsed="false">
      <c r="D155" s="71"/>
    </row>
    <row r="156" customFormat="false" ht="15" hidden="false" customHeight="false" outlineLevel="0" collapsed="false">
      <c r="D156" s="71"/>
    </row>
    <row r="157" customFormat="false" ht="15" hidden="false" customHeight="false" outlineLevel="0" collapsed="false">
      <c r="D157" s="71"/>
    </row>
    <row r="158" customFormat="false" ht="15" hidden="false" customHeight="false" outlineLevel="0" collapsed="false">
      <c r="D158" s="71"/>
    </row>
    <row r="159" customFormat="false" ht="15" hidden="false" customHeight="false" outlineLevel="0" collapsed="false">
      <c r="D159" s="71"/>
    </row>
    <row r="160" customFormat="false" ht="15" hidden="false" customHeight="false" outlineLevel="0" collapsed="false">
      <c r="D160" s="71"/>
    </row>
    <row r="161" customFormat="false" ht="15" hidden="false" customHeight="false" outlineLevel="0" collapsed="false">
      <c r="D161" s="71"/>
    </row>
    <row r="162" customFormat="false" ht="15" hidden="false" customHeight="false" outlineLevel="0" collapsed="false">
      <c r="D162" s="71"/>
    </row>
    <row r="163" customFormat="false" ht="15" hidden="false" customHeight="false" outlineLevel="0" collapsed="false">
      <c r="D163" s="71"/>
    </row>
    <row r="164" customFormat="false" ht="15" hidden="false" customHeight="false" outlineLevel="0" collapsed="false">
      <c r="D164" s="71"/>
    </row>
    <row r="165" customFormat="false" ht="15" hidden="false" customHeight="false" outlineLevel="0" collapsed="false">
      <c r="D165" s="71"/>
    </row>
    <row r="166" customFormat="false" ht="15" hidden="false" customHeight="false" outlineLevel="0" collapsed="false">
      <c r="D166" s="71"/>
    </row>
    <row r="167" customFormat="false" ht="15" hidden="false" customHeight="false" outlineLevel="0" collapsed="false">
      <c r="D167" s="71"/>
    </row>
    <row r="168" customFormat="false" ht="15" hidden="false" customHeight="false" outlineLevel="0" collapsed="false">
      <c r="D168" s="71"/>
    </row>
    <row r="169" customFormat="false" ht="15" hidden="false" customHeight="false" outlineLevel="0" collapsed="false">
      <c r="D169" s="71"/>
    </row>
    <row r="170" customFormat="false" ht="15" hidden="false" customHeight="false" outlineLevel="0" collapsed="false">
      <c r="D170" s="71"/>
    </row>
    <row r="171" customFormat="false" ht="15" hidden="false" customHeight="false" outlineLevel="0" collapsed="false">
      <c r="D171" s="71"/>
    </row>
    <row r="172" customFormat="false" ht="15" hidden="false" customHeight="false" outlineLevel="0" collapsed="false">
      <c r="D172" s="71"/>
    </row>
    <row r="173" customFormat="false" ht="15" hidden="false" customHeight="false" outlineLevel="0" collapsed="false">
      <c r="D173" s="71"/>
    </row>
    <row r="174" customFormat="false" ht="15" hidden="false" customHeight="false" outlineLevel="0" collapsed="false">
      <c r="D174" s="71"/>
    </row>
    <row r="175" customFormat="false" ht="15" hidden="false" customHeight="false" outlineLevel="0" collapsed="false">
      <c r="D175" s="71"/>
    </row>
    <row r="176" customFormat="false" ht="15" hidden="false" customHeight="false" outlineLevel="0" collapsed="false">
      <c r="D176" s="71"/>
    </row>
    <row r="177" customFormat="false" ht="15" hidden="false" customHeight="false" outlineLevel="0" collapsed="false">
      <c r="D177" s="71"/>
    </row>
    <row r="178" customFormat="false" ht="15" hidden="false" customHeight="false" outlineLevel="0" collapsed="false">
      <c r="D178" s="71"/>
    </row>
    <row r="179" customFormat="false" ht="15" hidden="false" customHeight="false" outlineLevel="0" collapsed="false">
      <c r="D179" s="71"/>
    </row>
    <row r="180" customFormat="false" ht="15" hidden="false" customHeight="false" outlineLevel="0" collapsed="false">
      <c r="D180" s="71"/>
    </row>
    <row r="181" customFormat="false" ht="15" hidden="false" customHeight="false" outlineLevel="0" collapsed="false">
      <c r="D181" s="71"/>
    </row>
    <row r="182" customFormat="false" ht="15" hidden="false" customHeight="false" outlineLevel="0" collapsed="false">
      <c r="D182" s="71"/>
    </row>
    <row r="183" customFormat="false" ht="15" hidden="false" customHeight="false" outlineLevel="0" collapsed="false">
      <c r="D183" s="71"/>
    </row>
    <row r="184" customFormat="false" ht="15" hidden="false" customHeight="false" outlineLevel="0" collapsed="false">
      <c r="D184" s="71"/>
    </row>
    <row r="185" customFormat="false" ht="15" hidden="false" customHeight="false" outlineLevel="0" collapsed="false">
      <c r="D185" s="71"/>
    </row>
    <row r="186" customFormat="false" ht="15" hidden="false" customHeight="false" outlineLevel="0" collapsed="false">
      <c r="D186" s="71"/>
    </row>
    <row r="187" customFormat="false" ht="15" hidden="false" customHeight="false" outlineLevel="0" collapsed="false">
      <c r="D187" s="71"/>
    </row>
    <row r="188" customFormat="false" ht="15" hidden="false" customHeight="false" outlineLevel="0" collapsed="false">
      <c r="D188" s="71"/>
    </row>
    <row r="189" customFormat="false" ht="15" hidden="false" customHeight="false" outlineLevel="0" collapsed="false">
      <c r="D189" s="71"/>
    </row>
    <row r="190" customFormat="false" ht="15" hidden="false" customHeight="false" outlineLevel="0" collapsed="false">
      <c r="D190" s="71"/>
    </row>
    <row r="191" customFormat="false" ht="15" hidden="false" customHeight="false" outlineLevel="0" collapsed="false">
      <c r="D191" s="71"/>
    </row>
    <row r="192" customFormat="false" ht="15" hidden="false" customHeight="false" outlineLevel="0" collapsed="false">
      <c r="D192" s="71"/>
    </row>
    <row r="193" customFormat="false" ht="15" hidden="false" customHeight="false" outlineLevel="0" collapsed="false">
      <c r="D193" s="71"/>
    </row>
    <row r="194" customFormat="false" ht="15" hidden="false" customHeight="false" outlineLevel="0" collapsed="false">
      <c r="D194" s="71"/>
    </row>
    <row r="195" customFormat="false" ht="15" hidden="false" customHeight="false" outlineLevel="0" collapsed="false">
      <c r="D195" s="71"/>
    </row>
    <row r="196" customFormat="false" ht="15" hidden="false" customHeight="false" outlineLevel="0" collapsed="false">
      <c r="D196" s="71"/>
    </row>
    <row r="197" customFormat="false" ht="15" hidden="false" customHeight="false" outlineLevel="0" collapsed="false">
      <c r="D197" s="71"/>
    </row>
    <row r="198" customFormat="false" ht="15" hidden="false" customHeight="false" outlineLevel="0" collapsed="false">
      <c r="D198" s="71"/>
    </row>
    <row r="199" customFormat="false" ht="15" hidden="false" customHeight="false" outlineLevel="0" collapsed="false">
      <c r="D199" s="71"/>
    </row>
    <row r="200" customFormat="false" ht="15" hidden="false" customHeight="false" outlineLevel="0" collapsed="false">
      <c r="D200" s="71"/>
    </row>
    <row r="201" customFormat="false" ht="15" hidden="false" customHeight="false" outlineLevel="0" collapsed="false">
      <c r="D201" s="71"/>
    </row>
    <row r="202" customFormat="false" ht="15" hidden="false" customHeight="false" outlineLevel="0" collapsed="false">
      <c r="D202" s="71"/>
    </row>
    <row r="203" customFormat="false" ht="15" hidden="false" customHeight="false" outlineLevel="0" collapsed="false">
      <c r="D203" s="71"/>
    </row>
    <row r="204" customFormat="false" ht="15" hidden="false" customHeight="false" outlineLevel="0" collapsed="false">
      <c r="D204" s="71"/>
    </row>
    <row r="205" customFormat="false" ht="15" hidden="false" customHeight="false" outlineLevel="0" collapsed="false">
      <c r="D205" s="71"/>
    </row>
    <row r="206" customFormat="false" ht="15" hidden="false" customHeight="false" outlineLevel="0" collapsed="false">
      <c r="D206" s="71"/>
    </row>
    <row r="207" customFormat="false" ht="15" hidden="false" customHeight="false" outlineLevel="0" collapsed="false">
      <c r="D207" s="71"/>
    </row>
    <row r="208" customFormat="false" ht="15" hidden="false" customHeight="false" outlineLevel="0" collapsed="false">
      <c r="D208" s="71"/>
    </row>
    <row r="209" customFormat="false" ht="15" hidden="false" customHeight="false" outlineLevel="0" collapsed="false">
      <c r="D209" s="71"/>
    </row>
    <row r="210" customFormat="false" ht="15" hidden="false" customHeight="false" outlineLevel="0" collapsed="false">
      <c r="D210" s="71"/>
    </row>
    <row r="211" customFormat="false" ht="15" hidden="false" customHeight="false" outlineLevel="0" collapsed="false">
      <c r="D211" s="71"/>
    </row>
    <row r="212" customFormat="false" ht="15" hidden="false" customHeight="false" outlineLevel="0" collapsed="false">
      <c r="D212" s="71"/>
    </row>
    <row r="213" customFormat="false" ht="15" hidden="false" customHeight="false" outlineLevel="0" collapsed="false">
      <c r="D213" s="71"/>
    </row>
    <row r="214" customFormat="false" ht="15" hidden="false" customHeight="false" outlineLevel="0" collapsed="false">
      <c r="D214" s="71"/>
    </row>
    <row r="215" customFormat="false" ht="15" hidden="false" customHeight="false" outlineLevel="0" collapsed="false">
      <c r="D215" s="71"/>
    </row>
    <row r="216" customFormat="false" ht="15" hidden="false" customHeight="false" outlineLevel="0" collapsed="false">
      <c r="D216" s="71"/>
    </row>
    <row r="217" customFormat="false" ht="15" hidden="false" customHeight="false" outlineLevel="0" collapsed="false">
      <c r="D217" s="71"/>
    </row>
    <row r="218" customFormat="false" ht="15" hidden="false" customHeight="false" outlineLevel="0" collapsed="false">
      <c r="D218" s="71"/>
    </row>
    <row r="219" customFormat="false" ht="15" hidden="false" customHeight="false" outlineLevel="0" collapsed="false">
      <c r="D219" s="71"/>
    </row>
    <row r="220" customFormat="false" ht="15" hidden="false" customHeight="false" outlineLevel="0" collapsed="false">
      <c r="D220" s="71"/>
    </row>
    <row r="221" customFormat="false" ht="15" hidden="false" customHeight="false" outlineLevel="0" collapsed="false">
      <c r="D221" s="71"/>
    </row>
    <row r="222" customFormat="false" ht="15" hidden="false" customHeight="false" outlineLevel="0" collapsed="false">
      <c r="D222" s="71"/>
    </row>
    <row r="223" customFormat="false" ht="15" hidden="false" customHeight="false" outlineLevel="0" collapsed="false">
      <c r="D223" s="71"/>
    </row>
    <row r="224" customFormat="false" ht="15" hidden="false" customHeight="false" outlineLevel="0" collapsed="false">
      <c r="D224" s="71"/>
    </row>
    <row r="225" customFormat="false" ht="15" hidden="false" customHeight="false" outlineLevel="0" collapsed="false">
      <c r="D225" s="71"/>
    </row>
    <row r="226" customFormat="false" ht="15" hidden="false" customHeight="false" outlineLevel="0" collapsed="false">
      <c r="D226" s="71"/>
    </row>
    <row r="227" customFormat="false" ht="15" hidden="false" customHeight="false" outlineLevel="0" collapsed="false">
      <c r="D227" s="71"/>
    </row>
    <row r="228" customFormat="false" ht="15" hidden="false" customHeight="false" outlineLevel="0" collapsed="false">
      <c r="D228" s="71"/>
    </row>
    <row r="229" customFormat="false" ht="15" hidden="false" customHeight="false" outlineLevel="0" collapsed="false">
      <c r="D229" s="71"/>
    </row>
    <row r="230" customFormat="false" ht="15" hidden="false" customHeight="false" outlineLevel="0" collapsed="false">
      <c r="D230" s="71"/>
    </row>
    <row r="231" customFormat="false" ht="15" hidden="false" customHeight="false" outlineLevel="0" collapsed="false">
      <c r="D231" s="71"/>
    </row>
    <row r="232" customFormat="false" ht="15" hidden="false" customHeight="false" outlineLevel="0" collapsed="false">
      <c r="D232" s="71"/>
    </row>
    <row r="233" customFormat="false" ht="15" hidden="false" customHeight="false" outlineLevel="0" collapsed="false">
      <c r="D233" s="71"/>
    </row>
    <row r="234" customFormat="false" ht="15" hidden="false" customHeight="false" outlineLevel="0" collapsed="false">
      <c r="D234" s="71"/>
    </row>
    <row r="235" customFormat="false" ht="15" hidden="false" customHeight="false" outlineLevel="0" collapsed="false">
      <c r="D235" s="71"/>
    </row>
    <row r="236" customFormat="false" ht="15" hidden="false" customHeight="false" outlineLevel="0" collapsed="false">
      <c r="D236" s="71"/>
    </row>
    <row r="237" customFormat="false" ht="15" hidden="false" customHeight="false" outlineLevel="0" collapsed="false">
      <c r="D237" s="71"/>
    </row>
    <row r="238" customFormat="false" ht="15" hidden="false" customHeight="false" outlineLevel="0" collapsed="false">
      <c r="D238" s="71"/>
    </row>
    <row r="239" customFormat="false" ht="15" hidden="false" customHeight="false" outlineLevel="0" collapsed="false">
      <c r="D239" s="71"/>
    </row>
    <row r="240" customFormat="false" ht="15" hidden="false" customHeight="false" outlineLevel="0" collapsed="false">
      <c r="D240" s="71"/>
    </row>
    <row r="241" customFormat="false" ht="15" hidden="false" customHeight="false" outlineLevel="0" collapsed="false">
      <c r="D241" s="71"/>
    </row>
    <row r="242" customFormat="false" ht="15" hidden="false" customHeight="false" outlineLevel="0" collapsed="false">
      <c r="D242" s="71"/>
    </row>
    <row r="243" customFormat="false" ht="15" hidden="false" customHeight="false" outlineLevel="0" collapsed="false">
      <c r="D243" s="71"/>
    </row>
    <row r="244" customFormat="false" ht="15" hidden="false" customHeight="false" outlineLevel="0" collapsed="false">
      <c r="D244" s="71"/>
    </row>
    <row r="245" customFormat="false" ht="15" hidden="false" customHeight="false" outlineLevel="0" collapsed="false">
      <c r="D245" s="71"/>
    </row>
    <row r="246" customFormat="false" ht="15" hidden="false" customHeight="false" outlineLevel="0" collapsed="false">
      <c r="D246" s="71"/>
    </row>
    <row r="247" customFormat="false" ht="15" hidden="false" customHeight="false" outlineLevel="0" collapsed="false">
      <c r="D247" s="71"/>
    </row>
    <row r="248" customFormat="false" ht="15" hidden="false" customHeight="false" outlineLevel="0" collapsed="false">
      <c r="D248" s="71"/>
    </row>
    <row r="249" customFormat="false" ht="15" hidden="false" customHeight="false" outlineLevel="0" collapsed="false">
      <c r="D249" s="71"/>
    </row>
    <row r="250" customFormat="false" ht="15" hidden="false" customHeight="false" outlineLevel="0" collapsed="false">
      <c r="D250" s="71"/>
    </row>
    <row r="251" customFormat="false" ht="15" hidden="false" customHeight="false" outlineLevel="0" collapsed="false">
      <c r="D251" s="71"/>
    </row>
    <row r="252" customFormat="false" ht="15" hidden="false" customHeight="false" outlineLevel="0" collapsed="false">
      <c r="D252" s="71"/>
    </row>
    <row r="253" customFormat="false" ht="15" hidden="false" customHeight="false" outlineLevel="0" collapsed="false">
      <c r="D253" s="71"/>
    </row>
    <row r="254" customFormat="false" ht="15" hidden="false" customHeight="false" outlineLevel="0" collapsed="false">
      <c r="D254" s="71"/>
    </row>
    <row r="255" customFormat="false" ht="15" hidden="false" customHeight="false" outlineLevel="0" collapsed="false">
      <c r="D255" s="71"/>
    </row>
    <row r="256" customFormat="false" ht="15" hidden="false" customHeight="false" outlineLevel="0" collapsed="false">
      <c r="D256" s="71"/>
    </row>
    <row r="257" customFormat="false" ht="15" hidden="false" customHeight="false" outlineLevel="0" collapsed="false">
      <c r="D257" s="71"/>
    </row>
    <row r="258" customFormat="false" ht="15" hidden="false" customHeight="false" outlineLevel="0" collapsed="false">
      <c r="D258" s="71"/>
    </row>
    <row r="259" customFormat="false" ht="15" hidden="false" customHeight="false" outlineLevel="0" collapsed="false">
      <c r="D259" s="71"/>
    </row>
    <row r="260" customFormat="false" ht="15" hidden="false" customHeight="false" outlineLevel="0" collapsed="false">
      <c r="D260" s="71"/>
    </row>
    <row r="261" customFormat="false" ht="15" hidden="false" customHeight="false" outlineLevel="0" collapsed="false">
      <c r="D261" s="71"/>
    </row>
    <row r="262" customFormat="false" ht="15" hidden="false" customHeight="false" outlineLevel="0" collapsed="false">
      <c r="D262" s="71"/>
    </row>
    <row r="263" customFormat="false" ht="15" hidden="false" customHeight="false" outlineLevel="0" collapsed="false">
      <c r="D263" s="71"/>
    </row>
    <row r="264" customFormat="false" ht="15" hidden="false" customHeight="false" outlineLevel="0" collapsed="false">
      <c r="D264" s="71"/>
    </row>
    <row r="265" customFormat="false" ht="15" hidden="false" customHeight="false" outlineLevel="0" collapsed="false">
      <c r="D265" s="71"/>
    </row>
    <row r="266" customFormat="false" ht="15" hidden="false" customHeight="false" outlineLevel="0" collapsed="false">
      <c r="D266" s="71"/>
    </row>
    <row r="267" customFormat="false" ht="15" hidden="false" customHeight="false" outlineLevel="0" collapsed="false">
      <c r="D267" s="71"/>
    </row>
    <row r="268" customFormat="false" ht="15" hidden="false" customHeight="false" outlineLevel="0" collapsed="false">
      <c r="D268" s="71"/>
    </row>
    <row r="269" customFormat="false" ht="15" hidden="false" customHeight="false" outlineLevel="0" collapsed="false">
      <c r="D269" s="71"/>
    </row>
    <row r="270" customFormat="false" ht="15" hidden="false" customHeight="false" outlineLevel="0" collapsed="false">
      <c r="D270" s="71"/>
    </row>
    <row r="271" customFormat="false" ht="15" hidden="false" customHeight="false" outlineLevel="0" collapsed="false">
      <c r="D271" s="71"/>
    </row>
    <row r="272" customFormat="false" ht="15" hidden="false" customHeight="false" outlineLevel="0" collapsed="false">
      <c r="D272" s="71"/>
    </row>
    <row r="273" customFormat="false" ht="15" hidden="false" customHeight="false" outlineLevel="0" collapsed="false">
      <c r="D273" s="71"/>
    </row>
    <row r="274" customFormat="false" ht="15" hidden="false" customHeight="false" outlineLevel="0" collapsed="false">
      <c r="D274" s="71"/>
    </row>
    <row r="275" customFormat="false" ht="15" hidden="false" customHeight="false" outlineLevel="0" collapsed="false">
      <c r="D275" s="71"/>
    </row>
    <row r="276" customFormat="false" ht="15" hidden="false" customHeight="false" outlineLevel="0" collapsed="false">
      <c r="D276" s="71"/>
    </row>
    <row r="277" customFormat="false" ht="15" hidden="false" customHeight="false" outlineLevel="0" collapsed="false">
      <c r="D277" s="71"/>
    </row>
    <row r="278" customFormat="false" ht="15" hidden="false" customHeight="false" outlineLevel="0" collapsed="false">
      <c r="D278" s="71"/>
    </row>
    <row r="279" customFormat="false" ht="15" hidden="false" customHeight="false" outlineLevel="0" collapsed="false">
      <c r="D279" s="71"/>
    </row>
    <row r="280" customFormat="false" ht="15" hidden="false" customHeight="false" outlineLevel="0" collapsed="false">
      <c r="D280" s="71"/>
    </row>
    <row r="281" customFormat="false" ht="15" hidden="false" customHeight="false" outlineLevel="0" collapsed="false">
      <c r="D281" s="71"/>
    </row>
    <row r="282" customFormat="false" ht="15" hidden="false" customHeight="false" outlineLevel="0" collapsed="false">
      <c r="D282" s="71"/>
    </row>
    <row r="283" customFormat="false" ht="15" hidden="false" customHeight="false" outlineLevel="0" collapsed="false">
      <c r="D283" s="71"/>
    </row>
    <row r="284" customFormat="false" ht="15" hidden="false" customHeight="false" outlineLevel="0" collapsed="false">
      <c r="D284" s="71"/>
    </row>
    <row r="285" customFormat="false" ht="15" hidden="false" customHeight="false" outlineLevel="0" collapsed="false">
      <c r="D285" s="71"/>
    </row>
    <row r="286" customFormat="false" ht="15" hidden="false" customHeight="false" outlineLevel="0" collapsed="false">
      <c r="D286" s="71"/>
    </row>
    <row r="287" customFormat="false" ht="15" hidden="false" customHeight="false" outlineLevel="0" collapsed="false">
      <c r="D287" s="71"/>
    </row>
    <row r="288" customFormat="false" ht="15" hidden="false" customHeight="false" outlineLevel="0" collapsed="false">
      <c r="D288" s="71"/>
    </row>
    <row r="289" customFormat="false" ht="15" hidden="false" customHeight="false" outlineLevel="0" collapsed="false">
      <c r="D289" s="71"/>
    </row>
    <row r="290" customFormat="false" ht="15" hidden="false" customHeight="false" outlineLevel="0" collapsed="false">
      <c r="D290" s="71"/>
    </row>
    <row r="291" customFormat="false" ht="15" hidden="false" customHeight="false" outlineLevel="0" collapsed="false">
      <c r="D291" s="71"/>
    </row>
    <row r="292" customFormat="false" ht="15" hidden="false" customHeight="false" outlineLevel="0" collapsed="false">
      <c r="D292" s="71"/>
    </row>
    <row r="293" customFormat="false" ht="15" hidden="false" customHeight="false" outlineLevel="0" collapsed="false">
      <c r="D293" s="71"/>
    </row>
    <row r="294" customFormat="false" ht="15" hidden="false" customHeight="false" outlineLevel="0" collapsed="false">
      <c r="D294" s="71"/>
    </row>
    <row r="295" customFormat="false" ht="15" hidden="false" customHeight="false" outlineLevel="0" collapsed="false">
      <c r="D295" s="71"/>
    </row>
    <row r="296" customFormat="false" ht="15" hidden="false" customHeight="false" outlineLevel="0" collapsed="false">
      <c r="D296" s="71"/>
    </row>
    <row r="297" customFormat="false" ht="15" hidden="false" customHeight="false" outlineLevel="0" collapsed="false">
      <c r="D297" s="71"/>
    </row>
    <row r="298" customFormat="false" ht="15" hidden="false" customHeight="false" outlineLevel="0" collapsed="false">
      <c r="D298" s="71"/>
    </row>
    <row r="299" customFormat="false" ht="15" hidden="false" customHeight="false" outlineLevel="0" collapsed="false">
      <c r="D299" s="71"/>
    </row>
    <row r="300" customFormat="false" ht="15" hidden="false" customHeight="false" outlineLevel="0" collapsed="false">
      <c r="D300" s="71"/>
    </row>
    <row r="301" customFormat="false" ht="15" hidden="false" customHeight="false" outlineLevel="0" collapsed="false">
      <c r="D301" s="71"/>
    </row>
    <row r="302" customFormat="false" ht="15" hidden="false" customHeight="false" outlineLevel="0" collapsed="false">
      <c r="D302" s="71"/>
    </row>
    <row r="303" customFormat="false" ht="15" hidden="false" customHeight="false" outlineLevel="0" collapsed="false">
      <c r="D303" s="71"/>
    </row>
    <row r="304" customFormat="false" ht="15" hidden="false" customHeight="false" outlineLevel="0" collapsed="false">
      <c r="D304" s="71"/>
    </row>
    <row r="305" customFormat="false" ht="15" hidden="false" customHeight="false" outlineLevel="0" collapsed="false">
      <c r="D305" s="71"/>
    </row>
    <row r="306" customFormat="false" ht="15" hidden="false" customHeight="false" outlineLevel="0" collapsed="false">
      <c r="D306" s="71"/>
    </row>
    <row r="307" customFormat="false" ht="15" hidden="false" customHeight="false" outlineLevel="0" collapsed="false">
      <c r="D307" s="71"/>
    </row>
    <row r="308" customFormat="false" ht="15" hidden="false" customHeight="false" outlineLevel="0" collapsed="false">
      <c r="D308" s="71"/>
    </row>
    <row r="309" customFormat="false" ht="15" hidden="false" customHeight="false" outlineLevel="0" collapsed="false">
      <c r="D309" s="71"/>
    </row>
    <row r="310" customFormat="false" ht="15" hidden="false" customHeight="false" outlineLevel="0" collapsed="false">
      <c r="D310" s="71"/>
    </row>
    <row r="311" customFormat="false" ht="15" hidden="false" customHeight="false" outlineLevel="0" collapsed="false">
      <c r="D311" s="71"/>
    </row>
    <row r="312" customFormat="false" ht="15" hidden="false" customHeight="false" outlineLevel="0" collapsed="false">
      <c r="D312" s="71"/>
    </row>
    <row r="313" customFormat="false" ht="15" hidden="false" customHeight="false" outlineLevel="0" collapsed="false">
      <c r="D313" s="71"/>
    </row>
    <row r="314" customFormat="false" ht="15" hidden="false" customHeight="false" outlineLevel="0" collapsed="false">
      <c r="D314" s="71"/>
    </row>
    <row r="315" customFormat="false" ht="15" hidden="false" customHeight="false" outlineLevel="0" collapsed="false">
      <c r="D315" s="71"/>
    </row>
    <row r="316" customFormat="false" ht="15" hidden="false" customHeight="false" outlineLevel="0" collapsed="false">
      <c r="D316" s="71"/>
    </row>
    <row r="317" customFormat="false" ht="15" hidden="false" customHeight="false" outlineLevel="0" collapsed="false">
      <c r="D317" s="71"/>
    </row>
    <row r="318" customFormat="false" ht="15" hidden="false" customHeight="false" outlineLevel="0" collapsed="false">
      <c r="D318" s="71"/>
    </row>
    <row r="319" customFormat="false" ht="15" hidden="false" customHeight="false" outlineLevel="0" collapsed="false">
      <c r="D319" s="71"/>
    </row>
    <row r="320" customFormat="false" ht="15" hidden="false" customHeight="false" outlineLevel="0" collapsed="false">
      <c r="D320" s="71"/>
    </row>
    <row r="321" customFormat="false" ht="15" hidden="false" customHeight="false" outlineLevel="0" collapsed="false">
      <c r="D321" s="71"/>
    </row>
    <row r="322" customFormat="false" ht="15" hidden="false" customHeight="false" outlineLevel="0" collapsed="false">
      <c r="D322" s="71"/>
    </row>
    <row r="323" customFormat="false" ht="15" hidden="false" customHeight="false" outlineLevel="0" collapsed="false">
      <c r="D323" s="71"/>
    </row>
    <row r="324" customFormat="false" ht="15" hidden="false" customHeight="false" outlineLevel="0" collapsed="false">
      <c r="D324" s="71"/>
    </row>
    <row r="325" customFormat="false" ht="15" hidden="false" customHeight="false" outlineLevel="0" collapsed="false">
      <c r="D325" s="71"/>
    </row>
    <row r="326" customFormat="false" ht="15" hidden="false" customHeight="false" outlineLevel="0" collapsed="false">
      <c r="D326" s="71"/>
    </row>
    <row r="327" customFormat="false" ht="15" hidden="false" customHeight="false" outlineLevel="0" collapsed="false">
      <c r="D327" s="71"/>
    </row>
    <row r="328" customFormat="false" ht="15" hidden="false" customHeight="false" outlineLevel="0" collapsed="false">
      <c r="D328" s="71"/>
    </row>
    <row r="329" customFormat="false" ht="15" hidden="false" customHeight="false" outlineLevel="0" collapsed="false">
      <c r="D329" s="71"/>
    </row>
    <row r="330" customFormat="false" ht="15" hidden="false" customHeight="false" outlineLevel="0" collapsed="false">
      <c r="D330" s="71"/>
    </row>
    <row r="331" customFormat="false" ht="15" hidden="false" customHeight="false" outlineLevel="0" collapsed="false">
      <c r="D331" s="71"/>
    </row>
    <row r="332" customFormat="false" ht="15" hidden="false" customHeight="false" outlineLevel="0" collapsed="false">
      <c r="D332" s="71"/>
    </row>
    <row r="333" customFormat="false" ht="15" hidden="false" customHeight="false" outlineLevel="0" collapsed="false">
      <c r="D333" s="71"/>
    </row>
    <row r="334" customFormat="false" ht="15" hidden="false" customHeight="false" outlineLevel="0" collapsed="false">
      <c r="D334" s="71"/>
    </row>
    <row r="335" customFormat="false" ht="15" hidden="false" customHeight="false" outlineLevel="0" collapsed="false">
      <c r="D335" s="71"/>
    </row>
    <row r="336" customFormat="false" ht="15" hidden="false" customHeight="false" outlineLevel="0" collapsed="false">
      <c r="D336" s="71"/>
    </row>
    <row r="337" customFormat="false" ht="15" hidden="false" customHeight="false" outlineLevel="0" collapsed="false">
      <c r="D337" s="71"/>
    </row>
    <row r="338" customFormat="false" ht="15" hidden="false" customHeight="false" outlineLevel="0" collapsed="false">
      <c r="D338" s="71"/>
    </row>
    <row r="339" customFormat="false" ht="15" hidden="false" customHeight="false" outlineLevel="0" collapsed="false">
      <c r="D339" s="71"/>
    </row>
    <row r="340" customFormat="false" ht="15" hidden="false" customHeight="false" outlineLevel="0" collapsed="false">
      <c r="D340" s="71"/>
    </row>
    <row r="341" customFormat="false" ht="15" hidden="false" customHeight="false" outlineLevel="0" collapsed="false">
      <c r="D341" s="71"/>
    </row>
    <row r="342" customFormat="false" ht="15" hidden="false" customHeight="false" outlineLevel="0" collapsed="false">
      <c r="D342" s="71"/>
    </row>
    <row r="343" customFormat="false" ht="15" hidden="false" customHeight="false" outlineLevel="0" collapsed="false">
      <c r="D343" s="71"/>
    </row>
    <row r="344" customFormat="false" ht="15" hidden="false" customHeight="false" outlineLevel="0" collapsed="false">
      <c r="D344" s="71"/>
    </row>
    <row r="345" customFormat="false" ht="15" hidden="false" customHeight="false" outlineLevel="0" collapsed="false">
      <c r="D345" s="71"/>
    </row>
    <row r="346" customFormat="false" ht="15" hidden="false" customHeight="false" outlineLevel="0" collapsed="false">
      <c r="D346" s="71"/>
    </row>
    <row r="347" customFormat="false" ht="15" hidden="false" customHeight="false" outlineLevel="0" collapsed="false">
      <c r="D347" s="71"/>
    </row>
    <row r="348" customFormat="false" ht="15" hidden="false" customHeight="false" outlineLevel="0" collapsed="false">
      <c r="D348" s="71"/>
    </row>
    <row r="349" customFormat="false" ht="15" hidden="false" customHeight="false" outlineLevel="0" collapsed="false">
      <c r="D349" s="71"/>
    </row>
    <row r="350" customFormat="false" ht="15" hidden="false" customHeight="false" outlineLevel="0" collapsed="false">
      <c r="D350" s="71"/>
    </row>
    <row r="351" customFormat="false" ht="15" hidden="false" customHeight="false" outlineLevel="0" collapsed="false">
      <c r="D351" s="71"/>
    </row>
    <row r="352" customFormat="false" ht="15" hidden="false" customHeight="false" outlineLevel="0" collapsed="false">
      <c r="D352" s="71"/>
    </row>
    <row r="353" customFormat="false" ht="15" hidden="false" customHeight="false" outlineLevel="0" collapsed="false">
      <c r="D353" s="71"/>
    </row>
    <row r="354" customFormat="false" ht="15" hidden="false" customHeight="false" outlineLevel="0" collapsed="false">
      <c r="D354" s="71"/>
    </row>
    <row r="355" customFormat="false" ht="15" hidden="false" customHeight="false" outlineLevel="0" collapsed="false">
      <c r="D355" s="71"/>
    </row>
    <row r="356" customFormat="false" ht="15" hidden="false" customHeight="false" outlineLevel="0" collapsed="false">
      <c r="D356" s="71"/>
    </row>
    <row r="357" customFormat="false" ht="15" hidden="false" customHeight="false" outlineLevel="0" collapsed="false">
      <c r="D357" s="71"/>
    </row>
    <row r="358" customFormat="false" ht="15" hidden="false" customHeight="false" outlineLevel="0" collapsed="false">
      <c r="D358" s="71"/>
    </row>
    <row r="359" customFormat="false" ht="15" hidden="false" customHeight="false" outlineLevel="0" collapsed="false">
      <c r="D359" s="71"/>
    </row>
    <row r="360" customFormat="false" ht="15" hidden="false" customHeight="false" outlineLevel="0" collapsed="false">
      <c r="D360" s="71"/>
    </row>
    <row r="361" customFormat="false" ht="15" hidden="false" customHeight="false" outlineLevel="0" collapsed="false">
      <c r="D361" s="71"/>
    </row>
    <row r="362" customFormat="false" ht="15" hidden="false" customHeight="false" outlineLevel="0" collapsed="false">
      <c r="D362" s="71"/>
    </row>
    <row r="363" customFormat="false" ht="15" hidden="false" customHeight="false" outlineLevel="0" collapsed="false">
      <c r="D363" s="71"/>
    </row>
    <row r="364" customFormat="false" ht="15" hidden="false" customHeight="false" outlineLevel="0" collapsed="false">
      <c r="D364" s="71"/>
    </row>
    <row r="365" customFormat="false" ht="15" hidden="false" customHeight="false" outlineLevel="0" collapsed="false">
      <c r="D365" s="71"/>
    </row>
    <row r="366" customFormat="false" ht="15" hidden="false" customHeight="false" outlineLevel="0" collapsed="false">
      <c r="D366" s="71"/>
    </row>
    <row r="367" customFormat="false" ht="15" hidden="false" customHeight="false" outlineLevel="0" collapsed="false">
      <c r="D367" s="71"/>
    </row>
    <row r="368" customFormat="false" ht="15" hidden="false" customHeight="false" outlineLevel="0" collapsed="false">
      <c r="D368" s="71"/>
    </row>
    <row r="369" customFormat="false" ht="15" hidden="false" customHeight="false" outlineLevel="0" collapsed="false">
      <c r="D369" s="71"/>
    </row>
    <row r="370" customFormat="false" ht="15" hidden="false" customHeight="false" outlineLevel="0" collapsed="false">
      <c r="D370" s="71"/>
    </row>
    <row r="371" customFormat="false" ht="15" hidden="false" customHeight="false" outlineLevel="0" collapsed="false">
      <c r="D371" s="71"/>
    </row>
    <row r="372" customFormat="false" ht="15" hidden="false" customHeight="false" outlineLevel="0" collapsed="false">
      <c r="D372" s="71"/>
    </row>
    <row r="373" customFormat="false" ht="15" hidden="false" customHeight="false" outlineLevel="0" collapsed="false">
      <c r="D373" s="71"/>
    </row>
    <row r="374" customFormat="false" ht="15" hidden="false" customHeight="false" outlineLevel="0" collapsed="false">
      <c r="D374" s="71"/>
    </row>
    <row r="375" customFormat="false" ht="15" hidden="false" customHeight="false" outlineLevel="0" collapsed="false">
      <c r="D375" s="71"/>
    </row>
    <row r="376" customFormat="false" ht="15" hidden="false" customHeight="false" outlineLevel="0" collapsed="false">
      <c r="D376" s="71"/>
    </row>
    <row r="377" customFormat="false" ht="15" hidden="false" customHeight="false" outlineLevel="0" collapsed="false">
      <c r="D377" s="71"/>
    </row>
    <row r="378" customFormat="false" ht="15" hidden="false" customHeight="false" outlineLevel="0" collapsed="false">
      <c r="D378" s="71"/>
    </row>
    <row r="379" customFormat="false" ht="15" hidden="false" customHeight="false" outlineLevel="0" collapsed="false">
      <c r="D379" s="71"/>
    </row>
    <row r="380" customFormat="false" ht="15" hidden="false" customHeight="false" outlineLevel="0" collapsed="false">
      <c r="D380" s="71"/>
    </row>
    <row r="381" customFormat="false" ht="15" hidden="false" customHeight="false" outlineLevel="0" collapsed="false">
      <c r="D381" s="71"/>
    </row>
    <row r="382" customFormat="false" ht="15" hidden="false" customHeight="false" outlineLevel="0" collapsed="false">
      <c r="D382" s="71"/>
    </row>
    <row r="383" customFormat="false" ht="15" hidden="false" customHeight="false" outlineLevel="0" collapsed="false">
      <c r="D383" s="71"/>
    </row>
    <row r="384" customFormat="false" ht="15" hidden="false" customHeight="false" outlineLevel="0" collapsed="false">
      <c r="D384" s="71"/>
    </row>
    <row r="385" customFormat="false" ht="15" hidden="false" customHeight="false" outlineLevel="0" collapsed="false">
      <c r="D385" s="71"/>
    </row>
    <row r="386" customFormat="false" ht="15" hidden="false" customHeight="false" outlineLevel="0" collapsed="false">
      <c r="D386" s="71"/>
    </row>
    <row r="387" customFormat="false" ht="15" hidden="false" customHeight="false" outlineLevel="0" collapsed="false">
      <c r="D387" s="71"/>
    </row>
    <row r="388" customFormat="false" ht="15" hidden="false" customHeight="false" outlineLevel="0" collapsed="false">
      <c r="D388" s="71"/>
    </row>
    <row r="389" customFormat="false" ht="15" hidden="false" customHeight="false" outlineLevel="0" collapsed="false">
      <c r="D389" s="71"/>
    </row>
    <row r="390" customFormat="false" ht="15" hidden="false" customHeight="false" outlineLevel="0" collapsed="false">
      <c r="D390" s="71"/>
    </row>
    <row r="391" customFormat="false" ht="15" hidden="false" customHeight="false" outlineLevel="0" collapsed="false">
      <c r="D391" s="71"/>
    </row>
    <row r="392" customFormat="false" ht="15" hidden="false" customHeight="false" outlineLevel="0" collapsed="false">
      <c r="D392" s="71"/>
    </row>
    <row r="393" customFormat="false" ht="15" hidden="false" customHeight="false" outlineLevel="0" collapsed="false">
      <c r="D393" s="71"/>
    </row>
    <row r="394" customFormat="false" ht="15" hidden="false" customHeight="false" outlineLevel="0" collapsed="false">
      <c r="D394" s="71"/>
    </row>
    <row r="395" customFormat="false" ht="15" hidden="false" customHeight="false" outlineLevel="0" collapsed="false">
      <c r="D395" s="71"/>
    </row>
    <row r="396" customFormat="false" ht="15" hidden="false" customHeight="false" outlineLevel="0" collapsed="false">
      <c r="D396" s="71"/>
    </row>
    <row r="397" customFormat="false" ht="15" hidden="false" customHeight="false" outlineLevel="0" collapsed="false">
      <c r="D397" s="71"/>
    </row>
    <row r="398" customFormat="false" ht="15" hidden="false" customHeight="false" outlineLevel="0" collapsed="false">
      <c r="D398" s="71"/>
    </row>
    <row r="399" customFormat="false" ht="15" hidden="false" customHeight="false" outlineLevel="0" collapsed="false">
      <c r="D399" s="71"/>
    </row>
    <row r="400" customFormat="false" ht="15" hidden="false" customHeight="false" outlineLevel="0" collapsed="false">
      <c r="D400" s="71"/>
    </row>
    <row r="401" customFormat="false" ht="15" hidden="false" customHeight="false" outlineLevel="0" collapsed="false">
      <c r="D401" s="71"/>
    </row>
    <row r="402" customFormat="false" ht="15" hidden="false" customHeight="false" outlineLevel="0" collapsed="false">
      <c r="D402" s="71"/>
    </row>
    <row r="403" customFormat="false" ht="15" hidden="false" customHeight="false" outlineLevel="0" collapsed="false">
      <c r="D403" s="71"/>
    </row>
    <row r="404" customFormat="false" ht="15" hidden="false" customHeight="false" outlineLevel="0" collapsed="false">
      <c r="D404" s="71"/>
    </row>
    <row r="405" customFormat="false" ht="15" hidden="false" customHeight="false" outlineLevel="0" collapsed="false">
      <c r="D405" s="71"/>
    </row>
    <row r="406" customFormat="false" ht="15" hidden="false" customHeight="false" outlineLevel="0" collapsed="false">
      <c r="D406" s="71"/>
    </row>
    <row r="407" customFormat="false" ht="15" hidden="false" customHeight="false" outlineLevel="0" collapsed="false">
      <c r="D407" s="71"/>
    </row>
    <row r="408" customFormat="false" ht="15" hidden="false" customHeight="false" outlineLevel="0" collapsed="false">
      <c r="D408" s="71"/>
    </row>
    <row r="409" customFormat="false" ht="15" hidden="false" customHeight="false" outlineLevel="0" collapsed="false">
      <c r="D409" s="71"/>
    </row>
    <row r="410" customFormat="false" ht="15" hidden="false" customHeight="false" outlineLevel="0" collapsed="false">
      <c r="D410" s="71"/>
    </row>
    <row r="411" customFormat="false" ht="15" hidden="false" customHeight="false" outlineLevel="0" collapsed="false">
      <c r="D411" s="71"/>
    </row>
    <row r="412" customFormat="false" ht="15" hidden="false" customHeight="false" outlineLevel="0" collapsed="false">
      <c r="D412" s="71"/>
    </row>
    <row r="413" customFormat="false" ht="15" hidden="false" customHeight="false" outlineLevel="0" collapsed="false">
      <c r="D413" s="71"/>
    </row>
    <row r="414" customFormat="false" ht="15" hidden="false" customHeight="false" outlineLevel="0" collapsed="false">
      <c r="D414" s="71"/>
    </row>
    <row r="415" customFormat="false" ht="15" hidden="false" customHeight="false" outlineLevel="0" collapsed="false">
      <c r="D415" s="71"/>
    </row>
    <row r="416" customFormat="false" ht="15" hidden="false" customHeight="false" outlineLevel="0" collapsed="false">
      <c r="D416" s="71"/>
    </row>
    <row r="417" customFormat="false" ht="15" hidden="false" customHeight="false" outlineLevel="0" collapsed="false">
      <c r="D417" s="71"/>
    </row>
    <row r="418" customFormat="false" ht="15" hidden="false" customHeight="false" outlineLevel="0" collapsed="false">
      <c r="D418" s="71"/>
    </row>
    <row r="419" customFormat="false" ht="15" hidden="false" customHeight="false" outlineLevel="0" collapsed="false">
      <c r="D419" s="71"/>
    </row>
    <row r="420" customFormat="false" ht="15" hidden="false" customHeight="false" outlineLevel="0" collapsed="false">
      <c r="D420" s="71"/>
    </row>
    <row r="421" customFormat="false" ht="15" hidden="false" customHeight="false" outlineLevel="0" collapsed="false">
      <c r="D421" s="71"/>
    </row>
    <row r="422" customFormat="false" ht="15" hidden="false" customHeight="false" outlineLevel="0" collapsed="false">
      <c r="D422" s="71"/>
    </row>
    <row r="423" customFormat="false" ht="15" hidden="false" customHeight="false" outlineLevel="0" collapsed="false">
      <c r="D423" s="71"/>
    </row>
    <row r="424" customFormat="false" ht="15" hidden="false" customHeight="false" outlineLevel="0" collapsed="false">
      <c r="D424" s="71"/>
    </row>
    <row r="425" customFormat="false" ht="15" hidden="false" customHeight="false" outlineLevel="0" collapsed="false">
      <c r="D425" s="71"/>
    </row>
    <row r="426" customFormat="false" ht="15" hidden="false" customHeight="false" outlineLevel="0" collapsed="false">
      <c r="D426" s="71"/>
    </row>
    <row r="427" customFormat="false" ht="15" hidden="false" customHeight="false" outlineLevel="0" collapsed="false">
      <c r="D427" s="71"/>
    </row>
    <row r="428" customFormat="false" ht="15" hidden="false" customHeight="false" outlineLevel="0" collapsed="false">
      <c r="D428" s="71"/>
    </row>
    <row r="429" customFormat="false" ht="15" hidden="false" customHeight="false" outlineLevel="0" collapsed="false">
      <c r="D429" s="71"/>
    </row>
    <row r="430" customFormat="false" ht="15" hidden="false" customHeight="false" outlineLevel="0" collapsed="false">
      <c r="D430" s="71"/>
    </row>
    <row r="431" customFormat="false" ht="15" hidden="false" customHeight="false" outlineLevel="0" collapsed="false">
      <c r="D431" s="71"/>
    </row>
    <row r="432" customFormat="false" ht="15" hidden="false" customHeight="false" outlineLevel="0" collapsed="false">
      <c r="D432" s="71"/>
    </row>
    <row r="433" customFormat="false" ht="15" hidden="false" customHeight="false" outlineLevel="0" collapsed="false">
      <c r="D433" s="71"/>
    </row>
    <row r="434" customFormat="false" ht="15" hidden="false" customHeight="false" outlineLevel="0" collapsed="false">
      <c r="D434" s="71"/>
    </row>
    <row r="435" customFormat="false" ht="15" hidden="false" customHeight="false" outlineLevel="0" collapsed="false">
      <c r="D435" s="71"/>
    </row>
    <row r="436" customFormat="false" ht="15" hidden="false" customHeight="false" outlineLevel="0" collapsed="false">
      <c r="D436" s="71"/>
    </row>
    <row r="437" customFormat="false" ht="15" hidden="false" customHeight="false" outlineLevel="0" collapsed="false">
      <c r="D437" s="71"/>
    </row>
    <row r="438" customFormat="false" ht="15" hidden="false" customHeight="false" outlineLevel="0" collapsed="false">
      <c r="D438" s="71"/>
    </row>
    <row r="439" customFormat="false" ht="15" hidden="false" customHeight="false" outlineLevel="0" collapsed="false">
      <c r="D439" s="71"/>
    </row>
    <row r="440" customFormat="false" ht="15" hidden="false" customHeight="false" outlineLevel="0" collapsed="false">
      <c r="D440" s="71"/>
    </row>
    <row r="441" customFormat="false" ht="15" hidden="false" customHeight="false" outlineLevel="0" collapsed="false">
      <c r="D441" s="71"/>
    </row>
    <row r="442" customFormat="false" ht="15" hidden="false" customHeight="false" outlineLevel="0" collapsed="false">
      <c r="D442" s="71"/>
    </row>
    <row r="443" customFormat="false" ht="15" hidden="false" customHeight="false" outlineLevel="0" collapsed="false">
      <c r="D443" s="71"/>
    </row>
    <row r="444" customFormat="false" ht="15" hidden="false" customHeight="false" outlineLevel="0" collapsed="false">
      <c r="D444" s="71"/>
    </row>
    <row r="445" customFormat="false" ht="15" hidden="false" customHeight="false" outlineLevel="0" collapsed="false">
      <c r="D445" s="71"/>
    </row>
    <row r="446" customFormat="false" ht="15" hidden="false" customHeight="false" outlineLevel="0" collapsed="false">
      <c r="D446" s="71"/>
    </row>
    <row r="447" customFormat="false" ht="15" hidden="false" customHeight="false" outlineLevel="0" collapsed="false">
      <c r="D447" s="71"/>
    </row>
    <row r="448" customFormat="false" ht="15" hidden="false" customHeight="false" outlineLevel="0" collapsed="false">
      <c r="D448" s="71"/>
    </row>
    <row r="449" customFormat="false" ht="15" hidden="false" customHeight="false" outlineLevel="0" collapsed="false">
      <c r="D449" s="71"/>
    </row>
    <row r="450" customFormat="false" ht="15" hidden="false" customHeight="false" outlineLevel="0" collapsed="false">
      <c r="D450" s="71"/>
    </row>
    <row r="451" customFormat="false" ht="15" hidden="false" customHeight="false" outlineLevel="0" collapsed="false">
      <c r="D451" s="71"/>
    </row>
    <row r="452" customFormat="false" ht="15" hidden="false" customHeight="false" outlineLevel="0" collapsed="false">
      <c r="D452" s="71"/>
    </row>
    <row r="453" customFormat="false" ht="15" hidden="false" customHeight="false" outlineLevel="0" collapsed="false">
      <c r="D453" s="71"/>
    </row>
    <row r="454" customFormat="false" ht="15" hidden="false" customHeight="false" outlineLevel="0" collapsed="false">
      <c r="D454" s="71"/>
    </row>
    <row r="455" customFormat="false" ht="15" hidden="false" customHeight="false" outlineLevel="0" collapsed="false">
      <c r="D455" s="71"/>
    </row>
    <row r="456" customFormat="false" ht="15" hidden="false" customHeight="false" outlineLevel="0" collapsed="false">
      <c r="D456" s="71"/>
    </row>
    <row r="457" customFormat="false" ht="15" hidden="false" customHeight="false" outlineLevel="0" collapsed="false">
      <c r="D457" s="71"/>
    </row>
    <row r="458" customFormat="false" ht="15" hidden="false" customHeight="false" outlineLevel="0" collapsed="false">
      <c r="D458" s="71"/>
    </row>
    <row r="459" customFormat="false" ht="15" hidden="false" customHeight="false" outlineLevel="0" collapsed="false">
      <c r="D459" s="71"/>
    </row>
    <row r="460" customFormat="false" ht="15" hidden="false" customHeight="false" outlineLevel="0" collapsed="false">
      <c r="D460" s="71"/>
    </row>
    <row r="461" customFormat="false" ht="15" hidden="false" customHeight="false" outlineLevel="0" collapsed="false">
      <c r="D461" s="71"/>
    </row>
    <row r="462" customFormat="false" ht="15" hidden="false" customHeight="false" outlineLevel="0" collapsed="false">
      <c r="D462" s="71"/>
    </row>
    <row r="463" customFormat="false" ht="15" hidden="false" customHeight="false" outlineLevel="0" collapsed="false">
      <c r="D463" s="71"/>
    </row>
    <row r="464" customFormat="false" ht="15" hidden="false" customHeight="false" outlineLevel="0" collapsed="false">
      <c r="D464" s="71"/>
    </row>
    <row r="465" customFormat="false" ht="15" hidden="false" customHeight="false" outlineLevel="0" collapsed="false">
      <c r="D465" s="71"/>
    </row>
    <row r="466" customFormat="false" ht="15" hidden="false" customHeight="false" outlineLevel="0" collapsed="false">
      <c r="D466" s="71"/>
    </row>
    <row r="467" customFormat="false" ht="15" hidden="false" customHeight="false" outlineLevel="0" collapsed="false">
      <c r="D467" s="71"/>
    </row>
    <row r="468" customFormat="false" ht="15" hidden="false" customHeight="false" outlineLevel="0" collapsed="false">
      <c r="D468" s="71"/>
    </row>
    <row r="469" customFormat="false" ht="15" hidden="false" customHeight="false" outlineLevel="0" collapsed="false">
      <c r="D469" s="71"/>
    </row>
    <row r="470" customFormat="false" ht="15" hidden="false" customHeight="false" outlineLevel="0" collapsed="false">
      <c r="D470" s="71"/>
    </row>
    <row r="471" customFormat="false" ht="15" hidden="false" customHeight="false" outlineLevel="0" collapsed="false">
      <c r="D471" s="71"/>
    </row>
    <row r="472" customFormat="false" ht="15" hidden="false" customHeight="false" outlineLevel="0" collapsed="false">
      <c r="D472" s="71"/>
    </row>
    <row r="473" customFormat="false" ht="15" hidden="false" customHeight="false" outlineLevel="0" collapsed="false">
      <c r="D473" s="71"/>
    </row>
    <row r="474" customFormat="false" ht="15" hidden="false" customHeight="false" outlineLevel="0" collapsed="false">
      <c r="D474" s="71"/>
    </row>
    <row r="475" customFormat="false" ht="15" hidden="false" customHeight="false" outlineLevel="0" collapsed="false">
      <c r="D475" s="71"/>
    </row>
    <row r="476" customFormat="false" ht="15" hidden="false" customHeight="false" outlineLevel="0" collapsed="false">
      <c r="D476" s="71"/>
    </row>
    <row r="477" customFormat="false" ht="15" hidden="false" customHeight="false" outlineLevel="0" collapsed="false">
      <c r="D477" s="71"/>
    </row>
    <row r="478" customFormat="false" ht="15" hidden="false" customHeight="false" outlineLevel="0" collapsed="false">
      <c r="D478" s="71"/>
    </row>
    <row r="479" customFormat="false" ht="15" hidden="false" customHeight="false" outlineLevel="0" collapsed="false">
      <c r="D479" s="71"/>
    </row>
    <row r="480" customFormat="false" ht="15" hidden="false" customHeight="false" outlineLevel="0" collapsed="false">
      <c r="D480" s="71"/>
    </row>
    <row r="481" customFormat="false" ht="15" hidden="false" customHeight="false" outlineLevel="0" collapsed="false">
      <c r="D481" s="71"/>
    </row>
    <row r="482" customFormat="false" ht="15" hidden="false" customHeight="false" outlineLevel="0" collapsed="false">
      <c r="D482" s="71"/>
    </row>
    <row r="483" customFormat="false" ht="15" hidden="false" customHeight="false" outlineLevel="0" collapsed="false">
      <c r="D483" s="71"/>
    </row>
    <row r="484" customFormat="false" ht="15" hidden="false" customHeight="false" outlineLevel="0" collapsed="false">
      <c r="D484" s="71"/>
    </row>
    <row r="485" customFormat="false" ht="15" hidden="false" customHeight="false" outlineLevel="0" collapsed="false">
      <c r="D485" s="71"/>
    </row>
    <row r="486" customFormat="false" ht="15" hidden="false" customHeight="false" outlineLevel="0" collapsed="false">
      <c r="D486" s="71"/>
    </row>
    <row r="487" customFormat="false" ht="15" hidden="false" customHeight="false" outlineLevel="0" collapsed="false">
      <c r="D487" s="71"/>
    </row>
    <row r="488" customFormat="false" ht="15" hidden="false" customHeight="false" outlineLevel="0" collapsed="false">
      <c r="D488" s="71"/>
    </row>
    <row r="489" customFormat="false" ht="15" hidden="false" customHeight="false" outlineLevel="0" collapsed="false">
      <c r="D489" s="71"/>
    </row>
    <row r="490" customFormat="false" ht="15" hidden="false" customHeight="false" outlineLevel="0" collapsed="false">
      <c r="D490" s="71"/>
    </row>
    <row r="491" customFormat="false" ht="15" hidden="false" customHeight="false" outlineLevel="0" collapsed="false">
      <c r="D491" s="71"/>
    </row>
    <row r="492" customFormat="false" ht="15" hidden="false" customHeight="false" outlineLevel="0" collapsed="false">
      <c r="D492" s="71"/>
    </row>
    <row r="493" customFormat="false" ht="15" hidden="false" customHeight="false" outlineLevel="0" collapsed="false">
      <c r="D493" s="71"/>
    </row>
    <row r="494" customFormat="false" ht="15" hidden="false" customHeight="false" outlineLevel="0" collapsed="false">
      <c r="D494" s="71"/>
    </row>
    <row r="495" customFormat="false" ht="15" hidden="false" customHeight="false" outlineLevel="0" collapsed="false">
      <c r="D495" s="71"/>
    </row>
    <row r="496" customFormat="false" ht="15" hidden="false" customHeight="false" outlineLevel="0" collapsed="false">
      <c r="D496" s="71"/>
    </row>
    <row r="497" customFormat="false" ht="15" hidden="false" customHeight="false" outlineLevel="0" collapsed="false">
      <c r="D497" s="71"/>
    </row>
    <row r="498" customFormat="false" ht="15" hidden="false" customHeight="false" outlineLevel="0" collapsed="false">
      <c r="D498" s="71"/>
    </row>
    <row r="499" customFormat="false" ht="15" hidden="false" customHeight="false" outlineLevel="0" collapsed="false">
      <c r="D499" s="71"/>
    </row>
    <row r="500" customFormat="false" ht="15" hidden="false" customHeight="false" outlineLevel="0" collapsed="false">
      <c r="D500" s="71"/>
    </row>
    <row r="501" customFormat="false" ht="15" hidden="false" customHeight="false" outlineLevel="0" collapsed="false">
      <c r="D501" s="71"/>
    </row>
    <row r="502" customFormat="false" ht="15" hidden="false" customHeight="false" outlineLevel="0" collapsed="false">
      <c r="D502" s="71"/>
    </row>
    <row r="503" customFormat="false" ht="15" hidden="false" customHeight="false" outlineLevel="0" collapsed="false">
      <c r="D503" s="71"/>
    </row>
    <row r="504" customFormat="false" ht="15" hidden="false" customHeight="false" outlineLevel="0" collapsed="false">
      <c r="D504" s="71"/>
    </row>
    <row r="505" customFormat="false" ht="15" hidden="false" customHeight="false" outlineLevel="0" collapsed="false">
      <c r="D505" s="71"/>
    </row>
    <row r="506" customFormat="false" ht="15" hidden="false" customHeight="false" outlineLevel="0" collapsed="false">
      <c r="D506" s="71"/>
    </row>
    <row r="507" customFormat="false" ht="15" hidden="false" customHeight="false" outlineLevel="0" collapsed="false">
      <c r="D507" s="71"/>
    </row>
    <row r="508" customFormat="false" ht="15" hidden="false" customHeight="false" outlineLevel="0" collapsed="false">
      <c r="D508" s="71"/>
    </row>
    <row r="509" customFormat="false" ht="15" hidden="false" customHeight="false" outlineLevel="0" collapsed="false">
      <c r="D509" s="71"/>
    </row>
    <row r="510" customFormat="false" ht="15" hidden="false" customHeight="false" outlineLevel="0" collapsed="false">
      <c r="D510" s="71"/>
    </row>
    <row r="511" customFormat="false" ht="15" hidden="false" customHeight="false" outlineLevel="0" collapsed="false">
      <c r="D511" s="71"/>
    </row>
    <row r="512" customFormat="false" ht="15" hidden="false" customHeight="false" outlineLevel="0" collapsed="false">
      <c r="D512" s="71"/>
    </row>
    <row r="513" customFormat="false" ht="15" hidden="false" customHeight="false" outlineLevel="0" collapsed="false">
      <c r="D513" s="71"/>
    </row>
    <row r="514" customFormat="false" ht="15" hidden="false" customHeight="false" outlineLevel="0" collapsed="false">
      <c r="D514" s="71"/>
    </row>
    <row r="515" customFormat="false" ht="15" hidden="false" customHeight="false" outlineLevel="0" collapsed="false">
      <c r="D515" s="71"/>
    </row>
    <row r="516" customFormat="false" ht="15" hidden="false" customHeight="false" outlineLevel="0" collapsed="false">
      <c r="D516" s="71"/>
    </row>
    <row r="517" customFormat="false" ht="15" hidden="false" customHeight="false" outlineLevel="0" collapsed="false">
      <c r="D517" s="71"/>
    </row>
    <row r="518" customFormat="false" ht="15" hidden="false" customHeight="false" outlineLevel="0" collapsed="false">
      <c r="D518" s="71"/>
    </row>
    <row r="519" customFormat="false" ht="15" hidden="false" customHeight="false" outlineLevel="0" collapsed="false">
      <c r="D519" s="71"/>
    </row>
    <row r="520" customFormat="false" ht="15" hidden="false" customHeight="false" outlineLevel="0" collapsed="false">
      <c r="D520" s="71"/>
    </row>
    <row r="521" customFormat="false" ht="15" hidden="false" customHeight="false" outlineLevel="0" collapsed="false">
      <c r="D521" s="71"/>
    </row>
    <row r="522" customFormat="false" ht="15" hidden="false" customHeight="false" outlineLevel="0" collapsed="false">
      <c r="D522" s="71"/>
    </row>
    <row r="523" customFormat="false" ht="15" hidden="false" customHeight="false" outlineLevel="0" collapsed="false">
      <c r="D523" s="71"/>
    </row>
    <row r="524" customFormat="false" ht="15" hidden="false" customHeight="false" outlineLevel="0" collapsed="false">
      <c r="D524" s="71"/>
    </row>
    <row r="525" customFormat="false" ht="15" hidden="false" customHeight="false" outlineLevel="0" collapsed="false">
      <c r="D525" s="71"/>
    </row>
    <row r="526" customFormat="false" ht="15" hidden="false" customHeight="false" outlineLevel="0" collapsed="false">
      <c r="D526" s="71"/>
    </row>
    <row r="527" customFormat="false" ht="15" hidden="false" customHeight="false" outlineLevel="0" collapsed="false">
      <c r="D527" s="71"/>
    </row>
    <row r="528" customFormat="false" ht="15" hidden="false" customHeight="false" outlineLevel="0" collapsed="false">
      <c r="D528" s="71"/>
    </row>
    <row r="529" customFormat="false" ht="15" hidden="false" customHeight="false" outlineLevel="0" collapsed="false">
      <c r="D529" s="71"/>
    </row>
    <row r="530" customFormat="false" ht="15" hidden="false" customHeight="false" outlineLevel="0" collapsed="false">
      <c r="D530" s="71"/>
    </row>
    <row r="531" customFormat="false" ht="15" hidden="false" customHeight="false" outlineLevel="0" collapsed="false">
      <c r="D531" s="71"/>
    </row>
    <row r="532" customFormat="false" ht="15" hidden="false" customHeight="false" outlineLevel="0" collapsed="false">
      <c r="D532" s="71"/>
    </row>
    <row r="533" customFormat="false" ht="15" hidden="false" customHeight="false" outlineLevel="0" collapsed="false">
      <c r="D533" s="71"/>
    </row>
    <row r="534" customFormat="false" ht="15" hidden="false" customHeight="false" outlineLevel="0" collapsed="false">
      <c r="D534" s="71"/>
    </row>
    <row r="535" customFormat="false" ht="15" hidden="false" customHeight="false" outlineLevel="0" collapsed="false">
      <c r="D535" s="71"/>
    </row>
    <row r="536" customFormat="false" ht="15" hidden="false" customHeight="false" outlineLevel="0" collapsed="false">
      <c r="D536" s="71"/>
    </row>
    <row r="537" customFormat="false" ht="15" hidden="false" customHeight="false" outlineLevel="0" collapsed="false">
      <c r="D537" s="71"/>
    </row>
    <row r="538" customFormat="false" ht="15" hidden="false" customHeight="false" outlineLevel="0" collapsed="false">
      <c r="D538" s="71"/>
    </row>
    <row r="539" customFormat="false" ht="15" hidden="false" customHeight="false" outlineLevel="0" collapsed="false">
      <c r="D539" s="71"/>
    </row>
    <row r="540" customFormat="false" ht="15" hidden="false" customHeight="false" outlineLevel="0" collapsed="false">
      <c r="D540" s="71"/>
    </row>
    <row r="541" customFormat="false" ht="15" hidden="false" customHeight="false" outlineLevel="0" collapsed="false">
      <c r="D541" s="71"/>
    </row>
    <row r="542" customFormat="false" ht="15" hidden="false" customHeight="false" outlineLevel="0" collapsed="false">
      <c r="D542" s="71"/>
    </row>
    <row r="543" customFormat="false" ht="15" hidden="false" customHeight="false" outlineLevel="0" collapsed="false">
      <c r="D543" s="71"/>
    </row>
    <row r="544" customFormat="false" ht="15" hidden="false" customHeight="false" outlineLevel="0" collapsed="false">
      <c r="D544" s="71"/>
    </row>
    <row r="545" customFormat="false" ht="15" hidden="false" customHeight="false" outlineLevel="0" collapsed="false">
      <c r="D545" s="71"/>
    </row>
    <row r="546" customFormat="false" ht="15" hidden="false" customHeight="false" outlineLevel="0" collapsed="false">
      <c r="D546" s="71"/>
    </row>
    <row r="547" customFormat="false" ht="15" hidden="false" customHeight="false" outlineLevel="0" collapsed="false">
      <c r="D547" s="71"/>
    </row>
    <row r="548" customFormat="false" ht="15" hidden="false" customHeight="false" outlineLevel="0" collapsed="false">
      <c r="D548" s="71"/>
    </row>
    <row r="549" customFormat="false" ht="15" hidden="false" customHeight="false" outlineLevel="0" collapsed="false">
      <c r="D549" s="71"/>
    </row>
    <row r="550" customFormat="false" ht="15" hidden="false" customHeight="false" outlineLevel="0" collapsed="false">
      <c r="D550" s="71"/>
    </row>
    <row r="551" customFormat="false" ht="15" hidden="false" customHeight="false" outlineLevel="0" collapsed="false">
      <c r="D551" s="71"/>
    </row>
    <row r="552" customFormat="false" ht="15" hidden="false" customHeight="false" outlineLevel="0" collapsed="false">
      <c r="D552" s="71"/>
    </row>
    <row r="553" customFormat="false" ht="15" hidden="false" customHeight="false" outlineLevel="0" collapsed="false">
      <c r="D553" s="71"/>
    </row>
    <row r="554" customFormat="false" ht="15" hidden="false" customHeight="false" outlineLevel="0" collapsed="false">
      <c r="D554" s="71"/>
    </row>
    <row r="555" customFormat="false" ht="15" hidden="false" customHeight="false" outlineLevel="0" collapsed="false">
      <c r="D555" s="71"/>
    </row>
    <row r="556" customFormat="false" ht="15" hidden="false" customHeight="false" outlineLevel="0" collapsed="false">
      <c r="D556" s="71"/>
    </row>
    <row r="557" customFormat="false" ht="15" hidden="false" customHeight="false" outlineLevel="0" collapsed="false">
      <c r="D557" s="71"/>
    </row>
    <row r="558" customFormat="false" ht="15" hidden="false" customHeight="false" outlineLevel="0" collapsed="false">
      <c r="D558" s="71"/>
    </row>
    <row r="559" customFormat="false" ht="15" hidden="false" customHeight="false" outlineLevel="0" collapsed="false">
      <c r="D559" s="71"/>
    </row>
    <row r="560" customFormat="false" ht="15" hidden="false" customHeight="false" outlineLevel="0" collapsed="false">
      <c r="D560" s="71"/>
    </row>
    <row r="561" customFormat="false" ht="15" hidden="false" customHeight="false" outlineLevel="0" collapsed="false">
      <c r="D561" s="71"/>
    </row>
    <row r="562" customFormat="false" ht="15" hidden="false" customHeight="false" outlineLevel="0" collapsed="false">
      <c r="D562" s="71"/>
    </row>
    <row r="563" customFormat="false" ht="15" hidden="false" customHeight="false" outlineLevel="0" collapsed="false">
      <c r="D563" s="71"/>
    </row>
    <row r="564" customFormat="false" ht="15" hidden="false" customHeight="false" outlineLevel="0" collapsed="false">
      <c r="D564" s="71"/>
    </row>
    <row r="565" customFormat="false" ht="15" hidden="false" customHeight="false" outlineLevel="0" collapsed="false">
      <c r="D565" s="71"/>
    </row>
    <row r="566" customFormat="false" ht="15" hidden="false" customHeight="false" outlineLevel="0" collapsed="false">
      <c r="D566" s="71"/>
    </row>
    <row r="567" customFormat="false" ht="15" hidden="false" customHeight="false" outlineLevel="0" collapsed="false">
      <c r="D567" s="71"/>
    </row>
    <row r="568" customFormat="false" ht="15" hidden="false" customHeight="false" outlineLevel="0" collapsed="false">
      <c r="D568" s="71"/>
    </row>
    <row r="569" customFormat="false" ht="15" hidden="false" customHeight="false" outlineLevel="0" collapsed="false">
      <c r="D569" s="71"/>
    </row>
    <row r="570" customFormat="false" ht="15" hidden="false" customHeight="false" outlineLevel="0" collapsed="false">
      <c r="D570" s="71"/>
    </row>
    <row r="571" customFormat="false" ht="15" hidden="false" customHeight="false" outlineLevel="0" collapsed="false">
      <c r="D571" s="71"/>
    </row>
    <row r="572" customFormat="false" ht="15" hidden="false" customHeight="false" outlineLevel="0" collapsed="false">
      <c r="D572" s="71"/>
    </row>
    <row r="573" customFormat="false" ht="15" hidden="false" customHeight="false" outlineLevel="0" collapsed="false">
      <c r="D573" s="71"/>
    </row>
    <row r="574" customFormat="false" ht="15" hidden="false" customHeight="false" outlineLevel="0" collapsed="false">
      <c r="D574" s="71"/>
    </row>
    <row r="575" customFormat="false" ht="15" hidden="false" customHeight="false" outlineLevel="0" collapsed="false">
      <c r="D575" s="71"/>
    </row>
    <row r="576" customFormat="false" ht="15" hidden="false" customHeight="false" outlineLevel="0" collapsed="false">
      <c r="D576" s="71"/>
    </row>
    <row r="577" customFormat="false" ht="15" hidden="false" customHeight="false" outlineLevel="0" collapsed="false">
      <c r="D577" s="71"/>
    </row>
    <row r="578" customFormat="false" ht="15" hidden="false" customHeight="false" outlineLevel="0" collapsed="false">
      <c r="D578" s="71"/>
    </row>
    <row r="579" customFormat="false" ht="15" hidden="false" customHeight="false" outlineLevel="0" collapsed="false">
      <c r="D579" s="71"/>
    </row>
    <row r="580" customFormat="false" ht="15" hidden="false" customHeight="false" outlineLevel="0" collapsed="false">
      <c r="D580" s="71"/>
    </row>
    <row r="581" customFormat="false" ht="15" hidden="false" customHeight="false" outlineLevel="0" collapsed="false">
      <c r="D581" s="71"/>
    </row>
    <row r="582" customFormat="false" ht="15" hidden="false" customHeight="false" outlineLevel="0" collapsed="false">
      <c r="D582" s="71"/>
    </row>
    <row r="583" customFormat="false" ht="15" hidden="false" customHeight="false" outlineLevel="0" collapsed="false">
      <c r="D583" s="71"/>
    </row>
    <row r="584" customFormat="false" ht="15" hidden="false" customHeight="false" outlineLevel="0" collapsed="false">
      <c r="D584" s="71"/>
    </row>
    <row r="585" customFormat="false" ht="15" hidden="false" customHeight="false" outlineLevel="0" collapsed="false">
      <c r="D585" s="71"/>
    </row>
    <row r="586" customFormat="false" ht="15" hidden="false" customHeight="false" outlineLevel="0" collapsed="false">
      <c r="D586" s="71"/>
    </row>
    <row r="587" customFormat="false" ht="15" hidden="false" customHeight="false" outlineLevel="0" collapsed="false">
      <c r="D587" s="71"/>
    </row>
    <row r="588" customFormat="false" ht="15" hidden="false" customHeight="false" outlineLevel="0" collapsed="false">
      <c r="D588" s="71"/>
    </row>
    <row r="589" customFormat="false" ht="15" hidden="false" customHeight="false" outlineLevel="0" collapsed="false">
      <c r="D589" s="71"/>
    </row>
    <row r="590" customFormat="false" ht="15" hidden="false" customHeight="false" outlineLevel="0" collapsed="false">
      <c r="D590" s="71"/>
    </row>
    <row r="591" customFormat="false" ht="15" hidden="false" customHeight="false" outlineLevel="0" collapsed="false">
      <c r="D591" s="71"/>
    </row>
    <row r="592" customFormat="false" ht="15" hidden="false" customHeight="false" outlineLevel="0" collapsed="false">
      <c r="D592" s="71"/>
    </row>
    <row r="593" customFormat="false" ht="15" hidden="false" customHeight="false" outlineLevel="0" collapsed="false">
      <c r="D593" s="71"/>
    </row>
    <row r="594" customFormat="false" ht="15" hidden="false" customHeight="false" outlineLevel="0" collapsed="false">
      <c r="D594" s="71"/>
    </row>
    <row r="595" customFormat="false" ht="15" hidden="false" customHeight="false" outlineLevel="0" collapsed="false">
      <c r="D595" s="71"/>
    </row>
    <row r="596" customFormat="false" ht="15" hidden="false" customHeight="false" outlineLevel="0" collapsed="false">
      <c r="D596" s="71"/>
    </row>
    <row r="597" customFormat="false" ht="15" hidden="false" customHeight="false" outlineLevel="0" collapsed="false">
      <c r="D597" s="71"/>
    </row>
    <row r="598" customFormat="false" ht="15" hidden="false" customHeight="false" outlineLevel="0" collapsed="false">
      <c r="D598" s="71"/>
    </row>
    <row r="599" customFormat="false" ht="15" hidden="false" customHeight="false" outlineLevel="0" collapsed="false">
      <c r="D599" s="71"/>
    </row>
    <row r="600" customFormat="false" ht="15" hidden="false" customHeight="false" outlineLevel="0" collapsed="false">
      <c r="D600" s="71"/>
    </row>
    <row r="601" customFormat="false" ht="15" hidden="false" customHeight="false" outlineLevel="0" collapsed="false">
      <c r="D601" s="71"/>
    </row>
    <row r="602" customFormat="false" ht="15" hidden="false" customHeight="false" outlineLevel="0" collapsed="false">
      <c r="D602" s="71"/>
    </row>
    <row r="603" customFormat="false" ht="15" hidden="false" customHeight="false" outlineLevel="0" collapsed="false">
      <c r="D603" s="71"/>
    </row>
    <row r="604" customFormat="false" ht="15" hidden="false" customHeight="false" outlineLevel="0" collapsed="false">
      <c r="D604" s="71"/>
    </row>
    <row r="605" customFormat="false" ht="15" hidden="false" customHeight="false" outlineLevel="0" collapsed="false">
      <c r="D605" s="71"/>
    </row>
    <row r="606" customFormat="false" ht="15" hidden="false" customHeight="false" outlineLevel="0" collapsed="false">
      <c r="D606" s="71"/>
    </row>
    <row r="607" customFormat="false" ht="15" hidden="false" customHeight="false" outlineLevel="0" collapsed="false">
      <c r="D607" s="71"/>
    </row>
    <row r="608" customFormat="false" ht="15" hidden="false" customHeight="false" outlineLevel="0" collapsed="false">
      <c r="D608" s="71"/>
    </row>
    <row r="609" customFormat="false" ht="15" hidden="false" customHeight="false" outlineLevel="0" collapsed="false">
      <c r="D609" s="71"/>
    </row>
    <row r="610" customFormat="false" ht="15" hidden="false" customHeight="false" outlineLevel="0" collapsed="false">
      <c r="D610" s="71"/>
    </row>
    <row r="611" customFormat="false" ht="15" hidden="false" customHeight="false" outlineLevel="0" collapsed="false">
      <c r="D611" s="71"/>
    </row>
    <row r="612" customFormat="false" ht="15" hidden="false" customHeight="false" outlineLevel="0" collapsed="false">
      <c r="D612" s="71"/>
    </row>
    <row r="613" customFormat="false" ht="15" hidden="false" customHeight="false" outlineLevel="0" collapsed="false">
      <c r="D613" s="71"/>
    </row>
    <row r="614" customFormat="false" ht="15" hidden="false" customHeight="false" outlineLevel="0" collapsed="false">
      <c r="D614" s="71"/>
    </row>
    <row r="615" customFormat="false" ht="15" hidden="false" customHeight="false" outlineLevel="0" collapsed="false">
      <c r="D615" s="71"/>
    </row>
    <row r="616" customFormat="false" ht="15" hidden="false" customHeight="false" outlineLevel="0" collapsed="false">
      <c r="D616" s="71"/>
    </row>
    <row r="617" customFormat="false" ht="15" hidden="false" customHeight="false" outlineLevel="0" collapsed="false">
      <c r="D617" s="71"/>
    </row>
    <row r="618" customFormat="false" ht="15" hidden="false" customHeight="false" outlineLevel="0" collapsed="false">
      <c r="D618" s="71"/>
    </row>
    <row r="619" customFormat="false" ht="15" hidden="false" customHeight="false" outlineLevel="0" collapsed="false">
      <c r="D619" s="71"/>
    </row>
    <row r="620" customFormat="false" ht="15" hidden="false" customHeight="false" outlineLevel="0" collapsed="false">
      <c r="D620" s="71"/>
    </row>
    <row r="621" customFormat="false" ht="15" hidden="false" customHeight="false" outlineLevel="0" collapsed="false">
      <c r="D621" s="71"/>
    </row>
    <row r="622" customFormat="false" ht="15" hidden="false" customHeight="false" outlineLevel="0" collapsed="false">
      <c r="D622" s="71"/>
    </row>
    <row r="623" customFormat="false" ht="15" hidden="false" customHeight="false" outlineLevel="0" collapsed="false">
      <c r="D623" s="71"/>
    </row>
    <row r="624" customFormat="false" ht="15" hidden="false" customHeight="false" outlineLevel="0" collapsed="false">
      <c r="D624" s="71"/>
    </row>
    <row r="625" customFormat="false" ht="15" hidden="false" customHeight="false" outlineLevel="0" collapsed="false">
      <c r="D625" s="71"/>
    </row>
    <row r="626" customFormat="false" ht="15" hidden="false" customHeight="false" outlineLevel="0" collapsed="false">
      <c r="D626" s="71"/>
    </row>
    <row r="627" customFormat="false" ht="15" hidden="false" customHeight="false" outlineLevel="0" collapsed="false">
      <c r="D627" s="71"/>
    </row>
    <row r="628" customFormat="false" ht="15" hidden="false" customHeight="false" outlineLevel="0" collapsed="false">
      <c r="D628" s="71"/>
    </row>
    <row r="629" customFormat="false" ht="15" hidden="false" customHeight="false" outlineLevel="0" collapsed="false">
      <c r="D629" s="71"/>
    </row>
    <row r="630" customFormat="false" ht="15" hidden="false" customHeight="false" outlineLevel="0" collapsed="false">
      <c r="D630" s="71"/>
    </row>
    <row r="631" customFormat="false" ht="15" hidden="false" customHeight="false" outlineLevel="0" collapsed="false">
      <c r="D631" s="71"/>
    </row>
    <row r="632" customFormat="false" ht="15" hidden="false" customHeight="false" outlineLevel="0" collapsed="false">
      <c r="D632" s="71"/>
    </row>
    <row r="633" customFormat="false" ht="15" hidden="false" customHeight="false" outlineLevel="0" collapsed="false">
      <c r="D633" s="71"/>
    </row>
    <row r="634" customFormat="false" ht="15" hidden="false" customHeight="false" outlineLevel="0" collapsed="false">
      <c r="D634" s="71"/>
    </row>
    <row r="635" customFormat="false" ht="15" hidden="false" customHeight="false" outlineLevel="0" collapsed="false">
      <c r="D635" s="71"/>
    </row>
    <row r="636" customFormat="false" ht="15" hidden="false" customHeight="false" outlineLevel="0" collapsed="false">
      <c r="D636" s="71"/>
    </row>
    <row r="637" customFormat="false" ht="15" hidden="false" customHeight="false" outlineLevel="0" collapsed="false">
      <c r="D637" s="71"/>
    </row>
    <row r="638" customFormat="false" ht="15" hidden="false" customHeight="false" outlineLevel="0" collapsed="false">
      <c r="D638" s="71"/>
    </row>
    <row r="639" customFormat="false" ht="15" hidden="false" customHeight="false" outlineLevel="0" collapsed="false">
      <c r="D639" s="71"/>
    </row>
    <row r="640" customFormat="false" ht="15" hidden="false" customHeight="false" outlineLevel="0" collapsed="false">
      <c r="D640" s="71"/>
    </row>
    <row r="641" customFormat="false" ht="15" hidden="false" customHeight="false" outlineLevel="0" collapsed="false">
      <c r="D641" s="71"/>
    </row>
    <row r="642" customFormat="false" ht="15" hidden="false" customHeight="false" outlineLevel="0" collapsed="false">
      <c r="D642" s="71"/>
    </row>
    <row r="643" customFormat="false" ht="15" hidden="false" customHeight="false" outlineLevel="0" collapsed="false">
      <c r="D643" s="71"/>
    </row>
    <row r="644" customFormat="false" ht="15" hidden="false" customHeight="false" outlineLevel="0" collapsed="false">
      <c r="D644" s="71"/>
    </row>
    <row r="645" customFormat="false" ht="15" hidden="false" customHeight="false" outlineLevel="0" collapsed="false">
      <c r="D645" s="71"/>
    </row>
    <row r="646" customFormat="false" ht="15" hidden="false" customHeight="false" outlineLevel="0" collapsed="false">
      <c r="D646" s="71"/>
    </row>
    <row r="647" customFormat="false" ht="15" hidden="false" customHeight="false" outlineLevel="0" collapsed="false">
      <c r="D647" s="71"/>
    </row>
    <row r="648" customFormat="false" ht="15" hidden="false" customHeight="false" outlineLevel="0" collapsed="false">
      <c r="D648" s="71"/>
    </row>
    <row r="649" customFormat="false" ht="15" hidden="false" customHeight="false" outlineLevel="0" collapsed="false">
      <c r="D649" s="71"/>
    </row>
    <row r="650" customFormat="false" ht="15" hidden="false" customHeight="false" outlineLevel="0" collapsed="false">
      <c r="D650" s="71"/>
    </row>
    <row r="651" customFormat="false" ht="15" hidden="false" customHeight="false" outlineLevel="0" collapsed="false">
      <c r="D651" s="71"/>
    </row>
    <row r="652" customFormat="false" ht="15" hidden="false" customHeight="false" outlineLevel="0" collapsed="false">
      <c r="D652" s="71"/>
    </row>
    <row r="653" customFormat="false" ht="15" hidden="false" customHeight="false" outlineLevel="0" collapsed="false">
      <c r="D653" s="71"/>
    </row>
    <row r="654" customFormat="false" ht="15" hidden="false" customHeight="false" outlineLevel="0" collapsed="false">
      <c r="D654" s="71"/>
    </row>
    <row r="655" customFormat="false" ht="15" hidden="false" customHeight="false" outlineLevel="0" collapsed="false">
      <c r="D655" s="71"/>
    </row>
    <row r="656" customFormat="false" ht="15" hidden="false" customHeight="false" outlineLevel="0" collapsed="false">
      <c r="D656" s="71"/>
    </row>
    <row r="657" customFormat="false" ht="15" hidden="false" customHeight="false" outlineLevel="0" collapsed="false">
      <c r="D657" s="71"/>
    </row>
    <row r="658" customFormat="false" ht="15" hidden="false" customHeight="false" outlineLevel="0" collapsed="false">
      <c r="D658" s="71"/>
    </row>
    <row r="659" customFormat="false" ht="15" hidden="false" customHeight="false" outlineLevel="0" collapsed="false">
      <c r="D659" s="71"/>
    </row>
    <row r="660" customFormat="false" ht="15" hidden="false" customHeight="false" outlineLevel="0" collapsed="false">
      <c r="D660" s="71"/>
    </row>
    <row r="661" customFormat="false" ht="15" hidden="false" customHeight="false" outlineLevel="0" collapsed="false">
      <c r="D661" s="71"/>
    </row>
    <row r="662" customFormat="false" ht="15" hidden="false" customHeight="false" outlineLevel="0" collapsed="false">
      <c r="D662" s="71"/>
    </row>
    <row r="663" customFormat="false" ht="15" hidden="false" customHeight="false" outlineLevel="0" collapsed="false">
      <c r="D663" s="71"/>
    </row>
    <row r="664" customFormat="false" ht="15" hidden="false" customHeight="false" outlineLevel="0" collapsed="false">
      <c r="D664" s="71"/>
    </row>
    <row r="665" customFormat="false" ht="15" hidden="false" customHeight="false" outlineLevel="0" collapsed="false">
      <c r="D665" s="71"/>
    </row>
    <row r="666" customFormat="false" ht="15" hidden="false" customHeight="false" outlineLevel="0" collapsed="false">
      <c r="D666" s="71"/>
    </row>
    <row r="667" customFormat="false" ht="15" hidden="false" customHeight="false" outlineLevel="0" collapsed="false">
      <c r="D667" s="71"/>
    </row>
    <row r="668" customFormat="false" ht="15" hidden="false" customHeight="false" outlineLevel="0" collapsed="false">
      <c r="D668" s="71"/>
    </row>
    <row r="669" customFormat="false" ht="15" hidden="false" customHeight="false" outlineLevel="0" collapsed="false">
      <c r="D669" s="71"/>
    </row>
    <row r="670" customFormat="false" ht="15" hidden="false" customHeight="false" outlineLevel="0" collapsed="false">
      <c r="D670" s="71"/>
    </row>
    <row r="671" customFormat="false" ht="15" hidden="false" customHeight="false" outlineLevel="0" collapsed="false">
      <c r="D671" s="71"/>
    </row>
    <row r="672" customFormat="false" ht="15" hidden="false" customHeight="false" outlineLevel="0" collapsed="false">
      <c r="D672" s="71"/>
    </row>
    <row r="673" customFormat="false" ht="15" hidden="false" customHeight="false" outlineLevel="0" collapsed="false">
      <c r="D673" s="71"/>
    </row>
    <row r="674" customFormat="false" ht="15" hidden="false" customHeight="false" outlineLevel="0" collapsed="false">
      <c r="D674" s="71"/>
    </row>
    <row r="675" customFormat="false" ht="15" hidden="false" customHeight="false" outlineLevel="0" collapsed="false">
      <c r="D675" s="71"/>
    </row>
    <row r="676" customFormat="false" ht="15" hidden="false" customHeight="false" outlineLevel="0" collapsed="false">
      <c r="D676" s="71"/>
    </row>
    <row r="677" customFormat="false" ht="15" hidden="false" customHeight="false" outlineLevel="0" collapsed="false">
      <c r="D677" s="71"/>
    </row>
    <row r="678" customFormat="false" ht="15" hidden="false" customHeight="false" outlineLevel="0" collapsed="false">
      <c r="D678" s="71"/>
    </row>
    <row r="679" customFormat="false" ht="15" hidden="false" customHeight="false" outlineLevel="0" collapsed="false">
      <c r="D679" s="71"/>
    </row>
    <row r="680" customFormat="false" ht="15" hidden="false" customHeight="false" outlineLevel="0" collapsed="false">
      <c r="D680" s="71"/>
    </row>
    <row r="681" customFormat="false" ht="15" hidden="false" customHeight="false" outlineLevel="0" collapsed="false">
      <c r="D681" s="71"/>
    </row>
    <row r="682" customFormat="false" ht="15" hidden="false" customHeight="false" outlineLevel="0" collapsed="false">
      <c r="D682" s="71"/>
    </row>
    <row r="683" customFormat="false" ht="15" hidden="false" customHeight="false" outlineLevel="0" collapsed="false">
      <c r="D683" s="71"/>
    </row>
    <row r="684" customFormat="false" ht="15" hidden="false" customHeight="false" outlineLevel="0" collapsed="false">
      <c r="D684" s="71"/>
    </row>
    <row r="685" customFormat="false" ht="15" hidden="false" customHeight="false" outlineLevel="0" collapsed="false">
      <c r="D685" s="71"/>
    </row>
    <row r="686" customFormat="false" ht="15" hidden="false" customHeight="false" outlineLevel="0" collapsed="false">
      <c r="D686" s="71"/>
    </row>
    <row r="687" customFormat="false" ht="15" hidden="false" customHeight="false" outlineLevel="0" collapsed="false">
      <c r="D687" s="71"/>
    </row>
    <row r="688" customFormat="false" ht="15" hidden="false" customHeight="false" outlineLevel="0" collapsed="false">
      <c r="D688" s="71"/>
    </row>
    <row r="689" customFormat="false" ht="15" hidden="false" customHeight="false" outlineLevel="0" collapsed="false">
      <c r="D689" s="71"/>
    </row>
    <row r="690" customFormat="false" ht="15" hidden="false" customHeight="false" outlineLevel="0" collapsed="false">
      <c r="D690" s="71"/>
    </row>
    <row r="691" customFormat="false" ht="15" hidden="false" customHeight="false" outlineLevel="0" collapsed="false">
      <c r="D691" s="71"/>
    </row>
    <row r="692" customFormat="false" ht="15" hidden="false" customHeight="false" outlineLevel="0" collapsed="false">
      <c r="D692" s="71"/>
    </row>
    <row r="693" customFormat="false" ht="15" hidden="false" customHeight="false" outlineLevel="0" collapsed="false">
      <c r="D693" s="71"/>
    </row>
    <row r="694" customFormat="false" ht="15" hidden="false" customHeight="false" outlineLevel="0" collapsed="false">
      <c r="D694" s="71"/>
    </row>
    <row r="695" customFormat="false" ht="15" hidden="false" customHeight="false" outlineLevel="0" collapsed="false">
      <c r="D695" s="71"/>
    </row>
    <row r="696" customFormat="false" ht="15" hidden="false" customHeight="false" outlineLevel="0" collapsed="false">
      <c r="D696" s="71"/>
    </row>
    <row r="697" customFormat="false" ht="15" hidden="false" customHeight="false" outlineLevel="0" collapsed="false">
      <c r="D697" s="71"/>
    </row>
    <row r="698" customFormat="false" ht="15" hidden="false" customHeight="false" outlineLevel="0" collapsed="false">
      <c r="D698" s="71"/>
    </row>
    <row r="699" customFormat="false" ht="15" hidden="false" customHeight="false" outlineLevel="0" collapsed="false">
      <c r="D699" s="71"/>
    </row>
    <row r="700" customFormat="false" ht="15" hidden="false" customHeight="false" outlineLevel="0" collapsed="false">
      <c r="D700" s="71"/>
    </row>
    <row r="701" customFormat="false" ht="15" hidden="false" customHeight="false" outlineLevel="0" collapsed="false">
      <c r="D701" s="71"/>
    </row>
    <row r="702" customFormat="false" ht="15" hidden="false" customHeight="false" outlineLevel="0" collapsed="false">
      <c r="D702" s="71"/>
    </row>
    <row r="703" customFormat="false" ht="15" hidden="false" customHeight="false" outlineLevel="0" collapsed="false">
      <c r="D703" s="71"/>
    </row>
    <row r="704" customFormat="false" ht="15" hidden="false" customHeight="false" outlineLevel="0" collapsed="false">
      <c r="D704" s="71"/>
    </row>
    <row r="705" customFormat="false" ht="15" hidden="false" customHeight="false" outlineLevel="0" collapsed="false">
      <c r="D705" s="71"/>
    </row>
    <row r="706" customFormat="false" ht="15" hidden="false" customHeight="false" outlineLevel="0" collapsed="false">
      <c r="D706" s="71"/>
    </row>
    <row r="707" customFormat="false" ht="15" hidden="false" customHeight="false" outlineLevel="0" collapsed="false">
      <c r="D707" s="71"/>
    </row>
    <row r="708" customFormat="false" ht="15" hidden="false" customHeight="false" outlineLevel="0" collapsed="false">
      <c r="D708" s="71"/>
    </row>
    <row r="709" customFormat="false" ht="15" hidden="false" customHeight="false" outlineLevel="0" collapsed="false">
      <c r="D709" s="71"/>
    </row>
    <row r="710" customFormat="false" ht="15" hidden="false" customHeight="false" outlineLevel="0" collapsed="false">
      <c r="D710" s="71"/>
    </row>
    <row r="711" customFormat="false" ht="15" hidden="false" customHeight="false" outlineLevel="0" collapsed="false">
      <c r="D711" s="71"/>
    </row>
    <row r="712" customFormat="false" ht="15" hidden="false" customHeight="false" outlineLevel="0" collapsed="false">
      <c r="D712" s="71"/>
    </row>
    <row r="713" customFormat="false" ht="15" hidden="false" customHeight="false" outlineLevel="0" collapsed="false">
      <c r="D713" s="71"/>
    </row>
    <row r="714" customFormat="false" ht="15" hidden="false" customHeight="false" outlineLevel="0" collapsed="false">
      <c r="D714" s="71"/>
    </row>
    <row r="715" customFormat="false" ht="15" hidden="false" customHeight="false" outlineLevel="0" collapsed="false">
      <c r="D715" s="71"/>
    </row>
    <row r="716" customFormat="false" ht="15" hidden="false" customHeight="false" outlineLevel="0" collapsed="false">
      <c r="D716" s="71"/>
    </row>
    <row r="717" customFormat="false" ht="15" hidden="false" customHeight="false" outlineLevel="0" collapsed="false">
      <c r="D717" s="71"/>
    </row>
    <row r="718" customFormat="false" ht="15" hidden="false" customHeight="false" outlineLevel="0" collapsed="false">
      <c r="D718" s="71"/>
    </row>
    <row r="719" customFormat="false" ht="15" hidden="false" customHeight="false" outlineLevel="0" collapsed="false">
      <c r="D719" s="71"/>
    </row>
    <row r="720" customFormat="false" ht="15" hidden="false" customHeight="false" outlineLevel="0" collapsed="false">
      <c r="D720" s="71"/>
    </row>
    <row r="721" customFormat="false" ht="15" hidden="false" customHeight="false" outlineLevel="0" collapsed="false">
      <c r="D721" s="71"/>
    </row>
    <row r="722" customFormat="false" ht="15" hidden="false" customHeight="false" outlineLevel="0" collapsed="false">
      <c r="D722" s="71"/>
    </row>
    <row r="723" customFormat="false" ht="15" hidden="false" customHeight="false" outlineLevel="0" collapsed="false">
      <c r="D723" s="71"/>
    </row>
    <row r="724" customFormat="false" ht="15" hidden="false" customHeight="false" outlineLevel="0" collapsed="false">
      <c r="D724" s="71"/>
    </row>
    <row r="725" customFormat="false" ht="15" hidden="false" customHeight="false" outlineLevel="0" collapsed="false">
      <c r="D725" s="71"/>
    </row>
    <row r="726" customFormat="false" ht="15" hidden="false" customHeight="false" outlineLevel="0" collapsed="false">
      <c r="D726" s="71"/>
    </row>
    <row r="727" customFormat="false" ht="15" hidden="false" customHeight="false" outlineLevel="0" collapsed="false">
      <c r="D727" s="71"/>
    </row>
    <row r="728" customFormat="false" ht="15" hidden="false" customHeight="false" outlineLevel="0" collapsed="false">
      <c r="D728" s="71"/>
    </row>
    <row r="729" customFormat="false" ht="15" hidden="false" customHeight="false" outlineLevel="0" collapsed="false">
      <c r="D729" s="71"/>
    </row>
    <row r="730" customFormat="false" ht="15" hidden="false" customHeight="false" outlineLevel="0" collapsed="false">
      <c r="D730" s="71"/>
    </row>
    <row r="731" customFormat="false" ht="15" hidden="false" customHeight="false" outlineLevel="0" collapsed="false">
      <c r="D731" s="71"/>
    </row>
    <row r="732" customFormat="false" ht="15" hidden="false" customHeight="false" outlineLevel="0" collapsed="false">
      <c r="D732" s="71"/>
    </row>
    <row r="733" customFormat="false" ht="15" hidden="false" customHeight="false" outlineLevel="0" collapsed="false">
      <c r="D733" s="71"/>
    </row>
    <row r="734" customFormat="false" ht="15" hidden="false" customHeight="false" outlineLevel="0" collapsed="false">
      <c r="D734" s="71"/>
    </row>
    <row r="735" customFormat="false" ht="15" hidden="false" customHeight="false" outlineLevel="0" collapsed="false">
      <c r="D735" s="71"/>
    </row>
    <row r="736" customFormat="false" ht="15" hidden="false" customHeight="false" outlineLevel="0" collapsed="false">
      <c r="D736" s="71"/>
    </row>
    <row r="737" customFormat="false" ht="15" hidden="false" customHeight="false" outlineLevel="0" collapsed="false">
      <c r="D737" s="71"/>
    </row>
    <row r="738" customFormat="false" ht="15" hidden="false" customHeight="false" outlineLevel="0" collapsed="false">
      <c r="D738" s="71"/>
    </row>
    <row r="739" customFormat="false" ht="15" hidden="false" customHeight="false" outlineLevel="0" collapsed="false">
      <c r="D739" s="71"/>
    </row>
    <row r="740" customFormat="false" ht="15" hidden="false" customHeight="false" outlineLevel="0" collapsed="false">
      <c r="D740" s="71"/>
    </row>
    <row r="741" customFormat="false" ht="15" hidden="false" customHeight="false" outlineLevel="0" collapsed="false">
      <c r="D741" s="71"/>
    </row>
    <row r="742" customFormat="false" ht="15" hidden="false" customHeight="false" outlineLevel="0" collapsed="false">
      <c r="D742" s="71"/>
    </row>
    <row r="743" customFormat="false" ht="15" hidden="false" customHeight="false" outlineLevel="0" collapsed="false">
      <c r="D743" s="71"/>
    </row>
    <row r="744" customFormat="false" ht="15" hidden="false" customHeight="false" outlineLevel="0" collapsed="false">
      <c r="D744" s="71"/>
    </row>
    <row r="745" customFormat="false" ht="15" hidden="false" customHeight="false" outlineLevel="0" collapsed="false">
      <c r="D745" s="71"/>
    </row>
    <row r="746" customFormat="false" ht="15" hidden="false" customHeight="false" outlineLevel="0" collapsed="false">
      <c r="D746" s="71"/>
    </row>
    <row r="747" customFormat="false" ht="15" hidden="false" customHeight="false" outlineLevel="0" collapsed="false">
      <c r="D747" s="71"/>
    </row>
    <row r="748" customFormat="false" ht="15" hidden="false" customHeight="false" outlineLevel="0" collapsed="false">
      <c r="D748" s="71"/>
    </row>
    <row r="749" customFormat="false" ht="15" hidden="false" customHeight="false" outlineLevel="0" collapsed="false">
      <c r="D749" s="71"/>
    </row>
    <row r="750" customFormat="false" ht="15" hidden="false" customHeight="false" outlineLevel="0" collapsed="false">
      <c r="D750" s="71"/>
    </row>
    <row r="751" customFormat="false" ht="15" hidden="false" customHeight="false" outlineLevel="0" collapsed="false">
      <c r="D751" s="71"/>
    </row>
    <row r="752" customFormat="false" ht="15" hidden="false" customHeight="false" outlineLevel="0" collapsed="false">
      <c r="D752" s="71"/>
    </row>
    <row r="753" customFormat="false" ht="15" hidden="false" customHeight="false" outlineLevel="0" collapsed="false">
      <c r="D753" s="71"/>
    </row>
    <row r="754" customFormat="false" ht="15" hidden="false" customHeight="false" outlineLevel="0" collapsed="false">
      <c r="D754" s="71"/>
    </row>
    <row r="755" customFormat="false" ht="15" hidden="false" customHeight="false" outlineLevel="0" collapsed="false">
      <c r="D755" s="71"/>
    </row>
    <row r="756" customFormat="false" ht="15" hidden="false" customHeight="false" outlineLevel="0" collapsed="false">
      <c r="D756" s="71"/>
    </row>
    <row r="757" customFormat="false" ht="15" hidden="false" customHeight="false" outlineLevel="0" collapsed="false">
      <c r="D757" s="71"/>
    </row>
    <row r="758" customFormat="false" ht="15" hidden="false" customHeight="false" outlineLevel="0" collapsed="false">
      <c r="D758" s="71"/>
    </row>
    <row r="759" customFormat="false" ht="15" hidden="false" customHeight="false" outlineLevel="0" collapsed="false">
      <c r="D759" s="71"/>
    </row>
    <row r="760" customFormat="false" ht="15" hidden="false" customHeight="false" outlineLevel="0" collapsed="false">
      <c r="D760" s="71"/>
    </row>
    <row r="761" customFormat="false" ht="15" hidden="false" customHeight="false" outlineLevel="0" collapsed="false">
      <c r="D761" s="71"/>
    </row>
    <row r="762" customFormat="false" ht="15" hidden="false" customHeight="false" outlineLevel="0" collapsed="false">
      <c r="D762" s="71"/>
    </row>
    <row r="763" customFormat="false" ht="15" hidden="false" customHeight="false" outlineLevel="0" collapsed="false">
      <c r="D763" s="71"/>
    </row>
    <row r="764" customFormat="false" ht="15" hidden="false" customHeight="false" outlineLevel="0" collapsed="false">
      <c r="D764" s="71"/>
    </row>
    <row r="765" customFormat="false" ht="15" hidden="false" customHeight="false" outlineLevel="0" collapsed="false">
      <c r="D765" s="71"/>
    </row>
    <row r="766" customFormat="false" ht="15" hidden="false" customHeight="false" outlineLevel="0" collapsed="false">
      <c r="D766" s="71"/>
    </row>
    <row r="767" customFormat="false" ht="15" hidden="false" customHeight="false" outlineLevel="0" collapsed="false">
      <c r="D767" s="71"/>
    </row>
    <row r="768" customFormat="false" ht="15" hidden="false" customHeight="false" outlineLevel="0" collapsed="false">
      <c r="D768" s="71"/>
    </row>
    <row r="769" customFormat="false" ht="15" hidden="false" customHeight="false" outlineLevel="0" collapsed="false">
      <c r="D769" s="71"/>
    </row>
    <row r="770" customFormat="false" ht="15" hidden="false" customHeight="false" outlineLevel="0" collapsed="false">
      <c r="D770" s="71"/>
    </row>
    <row r="771" customFormat="false" ht="15" hidden="false" customHeight="false" outlineLevel="0" collapsed="false">
      <c r="D771" s="71"/>
    </row>
    <row r="772" customFormat="false" ht="15" hidden="false" customHeight="false" outlineLevel="0" collapsed="false">
      <c r="D772" s="71"/>
    </row>
    <row r="773" customFormat="false" ht="15" hidden="false" customHeight="false" outlineLevel="0" collapsed="false">
      <c r="D773" s="71"/>
    </row>
    <row r="774" customFormat="false" ht="15" hidden="false" customHeight="false" outlineLevel="0" collapsed="false">
      <c r="D774" s="71"/>
    </row>
    <row r="775" customFormat="false" ht="15" hidden="false" customHeight="false" outlineLevel="0" collapsed="false">
      <c r="D775" s="71"/>
    </row>
    <row r="776" customFormat="false" ht="15" hidden="false" customHeight="false" outlineLevel="0" collapsed="false">
      <c r="D776" s="71"/>
    </row>
    <row r="777" customFormat="false" ht="15" hidden="false" customHeight="false" outlineLevel="0" collapsed="false">
      <c r="D777" s="71"/>
    </row>
    <row r="778" customFormat="false" ht="15" hidden="false" customHeight="false" outlineLevel="0" collapsed="false">
      <c r="D778" s="71"/>
    </row>
    <row r="779" customFormat="false" ht="15" hidden="false" customHeight="false" outlineLevel="0" collapsed="false">
      <c r="D779" s="71"/>
    </row>
    <row r="780" customFormat="false" ht="15" hidden="false" customHeight="false" outlineLevel="0" collapsed="false">
      <c r="D780" s="71"/>
    </row>
    <row r="781" customFormat="false" ht="15" hidden="false" customHeight="false" outlineLevel="0" collapsed="false">
      <c r="D781" s="71"/>
    </row>
    <row r="782" customFormat="false" ht="15" hidden="false" customHeight="false" outlineLevel="0" collapsed="false">
      <c r="D782" s="71"/>
    </row>
    <row r="783" customFormat="false" ht="15" hidden="false" customHeight="false" outlineLevel="0" collapsed="false">
      <c r="D783" s="71"/>
    </row>
    <row r="784" customFormat="false" ht="15" hidden="false" customHeight="false" outlineLevel="0" collapsed="false">
      <c r="D784" s="71"/>
    </row>
    <row r="785" customFormat="false" ht="15" hidden="false" customHeight="false" outlineLevel="0" collapsed="false">
      <c r="D785" s="71"/>
    </row>
    <row r="786" customFormat="false" ht="15" hidden="false" customHeight="false" outlineLevel="0" collapsed="false">
      <c r="D786" s="71"/>
    </row>
    <row r="787" customFormat="false" ht="15" hidden="false" customHeight="false" outlineLevel="0" collapsed="false">
      <c r="D787" s="71"/>
    </row>
    <row r="788" customFormat="false" ht="15" hidden="false" customHeight="false" outlineLevel="0" collapsed="false">
      <c r="D788" s="71"/>
    </row>
    <row r="789" customFormat="false" ht="15" hidden="false" customHeight="false" outlineLevel="0" collapsed="false">
      <c r="D789" s="71"/>
    </row>
    <row r="790" customFormat="false" ht="15" hidden="false" customHeight="false" outlineLevel="0" collapsed="false">
      <c r="D790" s="71"/>
    </row>
    <row r="791" customFormat="false" ht="15" hidden="false" customHeight="false" outlineLevel="0" collapsed="false">
      <c r="D791" s="71"/>
    </row>
    <row r="792" customFormat="false" ht="15" hidden="false" customHeight="false" outlineLevel="0" collapsed="false">
      <c r="D792" s="71"/>
    </row>
    <row r="793" customFormat="false" ht="15" hidden="false" customHeight="false" outlineLevel="0" collapsed="false">
      <c r="D793" s="71"/>
    </row>
    <row r="794" customFormat="false" ht="15" hidden="false" customHeight="false" outlineLevel="0" collapsed="false">
      <c r="D794" s="71"/>
    </row>
    <row r="795" customFormat="false" ht="15" hidden="false" customHeight="false" outlineLevel="0" collapsed="false">
      <c r="D795" s="71"/>
    </row>
    <row r="796" customFormat="false" ht="15" hidden="false" customHeight="false" outlineLevel="0" collapsed="false">
      <c r="D796" s="71"/>
    </row>
    <row r="797" customFormat="false" ht="15" hidden="false" customHeight="false" outlineLevel="0" collapsed="false">
      <c r="D797" s="71"/>
    </row>
    <row r="798" customFormat="false" ht="15" hidden="false" customHeight="false" outlineLevel="0" collapsed="false">
      <c r="D798" s="71"/>
    </row>
    <row r="799" customFormat="false" ht="15" hidden="false" customHeight="false" outlineLevel="0" collapsed="false">
      <c r="D799" s="71"/>
    </row>
    <row r="800" customFormat="false" ht="15" hidden="false" customHeight="false" outlineLevel="0" collapsed="false">
      <c r="D800" s="71"/>
    </row>
    <row r="801" customFormat="false" ht="15" hidden="false" customHeight="false" outlineLevel="0" collapsed="false">
      <c r="D801" s="71"/>
    </row>
    <row r="802" customFormat="false" ht="15" hidden="false" customHeight="false" outlineLevel="0" collapsed="false">
      <c r="D802" s="71"/>
    </row>
    <row r="803" customFormat="false" ht="15" hidden="false" customHeight="false" outlineLevel="0" collapsed="false">
      <c r="D803" s="71"/>
    </row>
    <row r="804" customFormat="false" ht="15" hidden="false" customHeight="false" outlineLevel="0" collapsed="false">
      <c r="D804" s="71"/>
    </row>
    <row r="805" customFormat="false" ht="15" hidden="false" customHeight="false" outlineLevel="0" collapsed="false">
      <c r="D805" s="71"/>
    </row>
    <row r="806" customFormat="false" ht="15" hidden="false" customHeight="false" outlineLevel="0" collapsed="false">
      <c r="D806" s="71"/>
    </row>
    <row r="807" customFormat="false" ht="15" hidden="false" customHeight="false" outlineLevel="0" collapsed="false">
      <c r="D807" s="71"/>
    </row>
    <row r="808" customFormat="false" ht="15" hidden="false" customHeight="false" outlineLevel="0" collapsed="false">
      <c r="D808" s="71"/>
    </row>
    <row r="809" customFormat="false" ht="15" hidden="false" customHeight="false" outlineLevel="0" collapsed="false">
      <c r="D809" s="71"/>
    </row>
    <row r="810" customFormat="false" ht="15" hidden="false" customHeight="false" outlineLevel="0" collapsed="false">
      <c r="D810" s="71"/>
    </row>
    <row r="811" customFormat="false" ht="15" hidden="false" customHeight="false" outlineLevel="0" collapsed="false">
      <c r="D811" s="71"/>
    </row>
    <row r="812" customFormat="false" ht="15" hidden="false" customHeight="false" outlineLevel="0" collapsed="false">
      <c r="D812" s="71"/>
    </row>
    <row r="813" customFormat="false" ht="15" hidden="false" customHeight="false" outlineLevel="0" collapsed="false">
      <c r="D813" s="71"/>
    </row>
    <row r="814" customFormat="false" ht="15" hidden="false" customHeight="false" outlineLevel="0" collapsed="false">
      <c r="D814" s="71"/>
    </row>
    <row r="815" customFormat="false" ht="15" hidden="false" customHeight="false" outlineLevel="0" collapsed="false">
      <c r="D815" s="71"/>
    </row>
    <row r="816" customFormat="false" ht="15" hidden="false" customHeight="false" outlineLevel="0" collapsed="false">
      <c r="D816" s="71"/>
    </row>
    <row r="817" customFormat="false" ht="15" hidden="false" customHeight="false" outlineLevel="0" collapsed="false">
      <c r="D817" s="71"/>
    </row>
    <row r="818" customFormat="false" ht="15" hidden="false" customHeight="false" outlineLevel="0" collapsed="false">
      <c r="D818" s="71"/>
    </row>
    <row r="819" customFormat="false" ht="15" hidden="false" customHeight="false" outlineLevel="0" collapsed="false">
      <c r="D819" s="71"/>
    </row>
    <row r="820" customFormat="false" ht="15" hidden="false" customHeight="false" outlineLevel="0" collapsed="false">
      <c r="D820" s="71"/>
    </row>
    <row r="821" customFormat="false" ht="15" hidden="false" customHeight="false" outlineLevel="0" collapsed="false">
      <c r="D821" s="71"/>
    </row>
    <row r="822" customFormat="false" ht="15" hidden="false" customHeight="false" outlineLevel="0" collapsed="false">
      <c r="D822" s="71"/>
    </row>
    <row r="823" customFormat="false" ht="15" hidden="false" customHeight="false" outlineLevel="0" collapsed="false">
      <c r="D823" s="71"/>
    </row>
    <row r="824" customFormat="false" ht="15" hidden="false" customHeight="false" outlineLevel="0" collapsed="false">
      <c r="D824" s="71"/>
    </row>
    <row r="825" customFormat="false" ht="15" hidden="false" customHeight="false" outlineLevel="0" collapsed="false">
      <c r="D825" s="71"/>
    </row>
    <row r="826" customFormat="false" ht="15" hidden="false" customHeight="false" outlineLevel="0" collapsed="false">
      <c r="D826" s="71"/>
    </row>
    <row r="827" customFormat="false" ht="15" hidden="false" customHeight="false" outlineLevel="0" collapsed="false">
      <c r="D827" s="71"/>
    </row>
    <row r="828" customFormat="false" ht="15" hidden="false" customHeight="false" outlineLevel="0" collapsed="false">
      <c r="D828" s="71"/>
    </row>
    <row r="829" customFormat="false" ht="15" hidden="false" customHeight="false" outlineLevel="0" collapsed="false">
      <c r="D829" s="71"/>
    </row>
    <row r="830" customFormat="false" ht="15" hidden="false" customHeight="false" outlineLevel="0" collapsed="false">
      <c r="D830" s="71"/>
    </row>
    <row r="831" customFormat="false" ht="15" hidden="false" customHeight="false" outlineLevel="0" collapsed="false">
      <c r="D831" s="71"/>
    </row>
    <row r="832" customFormat="false" ht="15" hidden="false" customHeight="false" outlineLevel="0" collapsed="false">
      <c r="D832" s="71"/>
    </row>
    <row r="833" customFormat="false" ht="15" hidden="false" customHeight="false" outlineLevel="0" collapsed="false">
      <c r="D833" s="71"/>
    </row>
    <row r="834" customFormat="false" ht="15" hidden="false" customHeight="false" outlineLevel="0" collapsed="false">
      <c r="D834" s="71"/>
    </row>
    <row r="835" customFormat="false" ht="15" hidden="false" customHeight="false" outlineLevel="0" collapsed="false">
      <c r="D835" s="71"/>
    </row>
    <row r="836" customFormat="false" ht="15" hidden="false" customHeight="false" outlineLevel="0" collapsed="false">
      <c r="D836" s="71"/>
    </row>
    <row r="837" customFormat="false" ht="15" hidden="false" customHeight="false" outlineLevel="0" collapsed="false">
      <c r="D837" s="71"/>
    </row>
    <row r="838" customFormat="false" ht="15" hidden="false" customHeight="false" outlineLevel="0" collapsed="false">
      <c r="D838" s="71"/>
    </row>
    <row r="839" customFormat="false" ht="15" hidden="false" customHeight="false" outlineLevel="0" collapsed="false">
      <c r="D839" s="71"/>
    </row>
    <row r="840" customFormat="false" ht="15" hidden="false" customHeight="false" outlineLevel="0" collapsed="false">
      <c r="D840" s="71"/>
    </row>
    <row r="841" customFormat="false" ht="15" hidden="false" customHeight="false" outlineLevel="0" collapsed="false">
      <c r="D841" s="71"/>
    </row>
    <row r="842" customFormat="false" ht="15" hidden="false" customHeight="false" outlineLevel="0" collapsed="false">
      <c r="D842" s="71"/>
    </row>
    <row r="843" customFormat="false" ht="15" hidden="false" customHeight="false" outlineLevel="0" collapsed="false">
      <c r="D843" s="71"/>
    </row>
    <row r="844" customFormat="false" ht="15" hidden="false" customHeight="false" outlineLevel="0" collapsed="false">
      <c r="D844" s="71"/>
    </row>
    <row r="845" customFormat="false" ht="15" hidden="false" customHeight="false" outlineLevel="0" collapsed="false">
      <c r="D845" s="71"/>
    </row>
    <row r="846" customFormat="false" ht="15" hidden="false" customHeight="false" outlineLevel="0" collapsed="false">
      <c r="D846" s="71"/>
    </row>
    <row r="847" customFormat="false" ht="15" hidden="false" customHeight="false" outlineLevel="0" collapsed="false">
      <c r="D847" s="71"/>
    </row>
    <row r="848" customFormat="false" ht="15" hidden="false" customHeight="false" outlineLevel="0" collapsed="false">
      <c r="D848" s="71"/>
    </row>
    <row r="849" customFormat="false" ht="15" hidden="false" customHeight="false" outlineLevel="0" collapsed="false">
      <c r="D849" s="71"/>
    </row>
    <row r="850" customFormat="false" ht="15" hidden="false" customHeight="false" outlineLevel="0" collapsed="false">
      <c r="D850" s="71"/>
    </row>
    <row r="851" customFormat="false" ht="15" hidden="false" customHeight="false" outlineLevel="0" collapsed="false">
      <c r="D851" s="71"/>
    </row>
    <row r="852" customFormat="false" ht="15" hidden="false" customHeight="false" outlineLevel="0" collapsed="false">
      <c r="D852" s="71"/>
    </row>
    <row r="853" customFormat="false" ht="15" hidden="false" customHeight="false" outlineLevel="0" collapsed="false">
      <c r="D853" s="71"/>
    </row>
    <row r="854" customFormat="false" ht="15" hidden="false" customHeight="false" outlineLevel="0" collapsed="false">
      <c r="D854" s="71"/>
    </row>
    <row r="855" customFormat="false" ht="15" hidden="false" customHeight="false" outlineLevel="0" collapsed="false">
      <c r="D855" s="71"/>
    </row>
    <row r="856" customFormat="false" ht="15" hidden="false" customHeight="false" outlineLevel="0" collapsed="false">
      <c r="D856" s="71"/>
    </row>
    <row r="857" customFormat="false" ht="15" hidden="false" customHeight="false" outlineLevel="0" collapsed="false">
      <c r="D857" s="71"/>
    </row>
    <row r="858" customFormat="false" ht="15" hidden="false" customHeight="false" outlineLevel="0" collapsed="false">
      <c r="D858" s="71"/>
    </row>
    <row r="859" customFormat="false" ht="15" hidden="false" customHeight="false" outlineLevel="0" collapsed="false">
      <c r="D859" s="71"/>
    </row>
    <row r="860" customFormat="false" ht="15" hidden="false" customHeight="false" outlineLevel="0" collapsed="false">
      <c r="D860" s="71"/>
    </row>
    <row r="861" customFormat="false" ht="15" hidden="false" customHeight="false" outlineLevel="0" collapsed="false">
      <c r="D861" s="71"/>
    </row>
    <row r="862" customFormat="false" ht="15" hidden="false" customHeight="false" outlineLevel="0" collapsed="false">
      <c r="D862" s="71"/>
    </row>
    <row r="863" customFormat="false" ht="15" hidden="false" customHeight="false" outlineLevel="0" collapsed="false">
      <c r="D863" s="71"/>
    </row>
    <row r="864" customFormat="false" ht="15" hidden="false" customHeight="false" outlineLevel="0" collapsed="false">
      <c r="D864" s="71"/>
    </row>
    <row r="865" customFormat="false" ht="15" hidden="false" customHeight="false" outlineLevel="0" collapsed="false">
      <c r="D865" s="71"/>
    </row>
    <row r="866" customFormat="false" ht="15" hidden="false" customHeight="false" outlineLevel="0" collapsed="false">
      <c r="D866" s="71"/>
    </row>
    <row r="867" customFormat="false" ht="15" hidden="false" customHeight="false" outlineLevel="0" collapsed="false">
      <c r="D867" s="71"/>
    </row>
    <row r="868" customFormat="false" ht="15" hidden="false" customHeight="false" outlineLevel="0" collapsed="false">
      <c r="D868" s="71"/>
    </row>
    <row r="869" customFormat="false" ht="15" hidden="false" customHeight="false" outlineLevel="0" collapsed="false">
      <c r="D869" s="71"/>
    </row>
    <row r="870" customFormat="false" ht="15" hidden="false" customHeight="false" outlineLevel="0" collapsed="false">
      <c r="D870" s="71"/>
    </row>
    <row r="871" customFormat="false" ht="15" hidden="false" customHeight="false" outlineLevel="0" collapsed="false">
      <c r="D871" s="71"/>
    </row>
    <row r="872" customFormat="false" ht="15" hidden="false" customHeight="false" outlineLevel="0" collapsed="false">
      <c r="D872" s="71"/>
    </row>
    <row r="873" customFormat="false" ht="15" hidden="false" customHeight="false" outlineLevel="0" collapsed="false">
      <c r="D873" s="71"/>
    </row>
    <row r="874" customFormat="false" ht="15" hidden="false" customHeight="false" outlineLevel="0" collapsed="false">
      <c r="D874" s="71"/>
    </row>
    <row r="875" customFormat="false" ht="15" hidden="false" customHeight="false" outlineLevel="0" collapsed="false">
      <c r="D875" s="71"/>
    </row>
    <row r="876" customFormat="false" ht="15" hidden="false" customHeight="false" outlineLevel="0" collapsed="false">
      <c r="D876" s="71"/>
    </row>
    <row r="877" customFormat="false" ht="15" hidden="false" customHeight="false" outlineLevel="0" collapsed="false">
      <c r="D877" s="71"/>
    </row>
    <row r="878" customFormat="false" ht="15" hidden="false" customHeight="false" outlineLevel="0" collapsed="false">
      <c r="D878" s="71"/>
    </row>
    <row r="879" customFormat="false" ht="15" hidden="false" customHeight="false" outlineLevel="0" collapsed="false">
      <c r="D879" s="71"/>
    </row>
    <row r="880" customFormat="false" ht="15" hidden="false" customHeight="false" outlineLevel="0" collapsed="false">
      <c r="D880" s="71"/>
    </row>
    <row r="881" customFormat="false" ht="15" hidden="false" customHeight="false" outlineLevel="0" collapsed="false">
      <c r="D881" s="71"/>
    </row>
    <row r="882" customFormat="false" ht="15" hidden="false" customHeight="false" outlineLevel="0" collapsed="false">
      <c r="D882" s="71"/>
    </row>
    <row r="883" customFormat="false" ht="15" hidden="false" customHeight="false" outlineLevel="0" collapsed="false">
      <c r="D883" s="71"/>
    </row>
    <row r="884" customFormat="false" ht="15" hidden="false" customHeight="false" outlineLevel="0" collapsed="false">
      <c r="D884" s="71"/>
    </row>
    <row r="885" customFormat="false" ht="15" hidden="false" customHeight="false" outlineLevel="0" collapsed="false">
      <c r="D885" s="71"/>
    </row>
    <row r="886" customFormat="false" ht="15" hidden="false" customHeight="false" outlineLevel="0" collapsed="false">
      <c r="D886" s="71"/>
    </row>
    <row r="887" customFormat="false" ht="15" hidden="false" customHeight="false" outlineLevel="0" collapsed="false">
      <c r="D887" s="71"/>
    </row>
    <row r="888" customFormat="false" ht="15" hidden="false" customHeight="false" outlineLevel="0" collapsed="false">
      <c r="D888" s="71"/>
    </row>
    <row r="889" customFormat="false" ht="15" hidden="false" customHeight="false" outlineLevel="0" collapsed="false">
      <c r="D889" s="71"/>
    </row>
    <row r="890" customFormat="false" ht="15" hidden="false" customHeight="false" outlineLevel="0" collapsed="false">
      <c r="D890" s="71"/>
    </row>
    <row r="891" customFormat="false" ht="15" hidden="false" customHeight="false" outlineLevel="0" collapsed="false">
      <c r="D891" s="71"/>
    </row>
    <row r="892" customFormat="false" ht="15" hidden="false" customHeight="false" outlineLevel="0" collapsed="false">
      <c r="D892" s="71"/>
    </row>
    <row r="893" customFormat="false" ht="15" hidden="false" customHeight="false" outlineLevel="0" collapsed="false">
      <c r="D893" s="71"/>
    </row>
    <row r="894" customFormat="false" ht="15" hidden="false" customHeight="false" outlineLevel="0" collapsed="false">
      <c r="D894" s="71"/>
    </row>
    <row r="895" customFormat="false" ht="15" hidden="false" customHeight="false" outlineLevel="0" collapsed="false">
      <c r="D895" s="71"/>
    </row>
    <row r="896" customFormat="false" ht="15" hidden="false" customHeight="false" outlineLevel="0" collapsed="false">
      <c r="D896" s="71"/>
    </row>
    <row r="897" customFormat="false" ht="15" hidden="false" customHeight="false" outlineLevel="0" collapsed="false">
      <c r="D897" s="71"/>
    </row>
    <row r="898" customFormat="false" ht="15" hidden="false" customHeight="false" outlineLevel="0" collapsed="false">
      <c r="D898" s="71"/>
    </row>
    <row r="899" customFormat="false" ht="15" hidden="false" customHeight="false" outlineLevel="0" collapsed="false">
      <c r="D899" s="71"/>
    </row>
    <row r="900" customFormat="false" ht="15" hidden="false" customHeight="false" outlineLevel="0" collapsed="false">
      <c r="D900" s="71"/>
    </row>
    <row r="901" customFormat="false" ht="15" hidden="false" customHeight="false" outlineLevel="0" collapsed="false">
      <c r="D901" s="71"/>
    </row>
    <row r="902" customFormat="false" ht="15" hidden="false" customHeight="false" outlineLevel="0" collapsed="false">
      <c r="D902" s="71"/>
    </row>
    <row r="903" customFormat="false" ht="15" hidden="false" customHeight="false" outlineLevel="0" collapsed="false">
      <c r="D903" s="71"/>
    </row>
    <row r="904" customFormat="false" ht="15" hidden="false" customHeight="false" outlineLevel="0" collapsed="false">
      <c r="D904" s="71"/>
    </row>
    <row r="905" customFormat="false" ht="15" hidden="false" customHeight="false" outlineLevel="0" collapsed="false">
      <c r="D905" s="71"/>
    </row>
    <row r="906" customFormat="false" ht="15" hidden="false" customHeight="false" outlineLevel="0" collapsed="false">
      <c r="D906" s="71"/>
    </row>
    <row r="907" customFormat="false" ht="15" hidden="false" customHeight="false" outlineLevel="0" collapsed="false">
      <c r="D907" s="71"/>
    </row>
    <row r="908" customFormat="false" ht="15" hidden="false" customHeight="false" outlineLevel="0" collapsed="false">
      <c r="D908" s="71"/>
    </row>
    <row r="909" customFormat="false" ht="15" hidden="false" customHeight="false" outlineLevel="0" collapsed="false">
      <c r="D909" s="71"/>
    </row>
    <row r="910" customFormat="false" ht="15" hidden="false" customHeight="false" outlineLevel="0" collapsed="false">
      <c r="D910" s="71"/>
    </row>
    <row r="911" customFormat="false" ht="15" hidden="false" customHeight="false" outlineLevel="0" collapsed="false">
      <c r="D911" s="71"/>
    </row>
    <row r="912" customFormat="false" ht="15" hidden="false" customHeight="false" outlineLevel="0" collapsed="false">
      <c r="D912" s="71"/>
    </row>
    <row r="913" customFormat="false" ht="15" hidden="false" customHeight="false" outlineLevel="0" collapsed="false">
      <c r="D913" s="71"/>
    </row>
    <row r="914" customFormat="false" ht="15" hidden="false" customHeight="false" outlineLevel="0" collapsed="false">
      <c r="D914" s="71"/>
    </row>
    <row r="915" customFormat="false" ht="15" hidden="false" customHeight="false" outlineLevel="0" collapsed="false">
      <c r="D915" s="71"/>
    </row>
    <row r="916" customFormat="false" ht="15" hidden="false" customHeight="false" outlineLevel="0" collapsed="false">
      <c r="D916" s="71"/>
    </row>
    <row r="917" customFormat="false" ht="15" hidden="false" customHeight="false" outlineLevel="0" collapsed="false">
      <c r="D917" s="71"/>
    </row>
    <row r="918" customFormat="false" ht="15" hidden="false" customHeight="false" outlineLevel="0" collapsed="false">
      <c r="D918" s="71"/>
    </row>
    <row r="919" customFormat="false" ht="15" hidden="false" customHeight="false" outlineLevel="0" collapsed="false">
      <c r="D919" s="71"/>
    </row>
    <row r="920" customFormat="false" ht="15" hidden="false" customHeight="false" outlineLevel="0" collapsed="false">
      <c r="D920" s="71"/>
    </row>
    <row r="921" customFormat="false" ht="15" hidden="false" customHeight="false" outlineLevel="0" collapsed="false">
      <c r="D921" s="71"/>
    </row>
    <row r="922" customFormat="false" ht="15" hidden="false" customHeight="false" outlineLevel="0" collapsed="false">
      <c r="D922" s="71"/>
    </row>
    <row r="923" customFormat="false" ht="15" hidden="false" customHeight="false" outlineLevel="0" collapsed="false">
      <c r="D923" s="71"/>
    </row>
    <row r="924" customFormat="false" ht="15" hidden="false" customHeight="false" outlineLevel="0" collapsed="false">
      <c r="D924" s="71"/>
    </row>
    <row r="925" customFormat="false" ht="15" hidden="false" customHeight="false" outlineLevel="0" collapsed="false">
      <c r="D925" s="71"/>
    </row>
    <row r="926" customFormat="false" ht="15" hidden="false" customHeight="false" outlineLevel="0" collapsed="false">
      <c r="D926" s="71"/>
    </row>
    <row r="927" customFormat="false" ht="15" hidden="false" customHeight="false" outlineLevel="0" collapsed="false">
      <c r="D927" s="71"/>
    </row>
    <row r="928" customFormat="false" ht="15" hidden="false" customHeight="false" outlineLevel="0" collapsed="false">
      <c r="D928" s="71"/>
    </row>
    <row r="929" customFormat="false" ht="15" hidden="false" customHeight="false" outlineLevel="0" collapsed="false">
      <c r="D929" s="71"/>
    </row>
    <row r="930" customFormat="false" ht="15" hidden="false" customHeight="false" outlineLevel="0" collapsed="false">
      <c r="D930" s="71"/>
    </row>
    <row r="931" customFormat="false" ht="15" hidden="false" customHeight="false" outlineLevel="0" collapsed="false">
      <c r="D931" s="71"/>
    </row>
    <row r="932" customFormat="false" ht="15" hidden="false" customHeight="false" outlineLevel="0" collapsed="false">
      <c r="D932" s="71"/>
    </row>
    <row r="933" customFormat="false" ht="15" hidden="false" customHeight="false" outlineLevel="0" collapsed="false">
      <c r="D933" s="71"/>
    </row>
    <row r="934" customFormat="false" ht="15" hidden="false" customHeight="false" outlineLevel="0" collapsed="false">
      <c r="D934" s="71"/>
    </row>
    <row r="935" customFormat="false" ht="15" hidden="false" customHeight="false" outlineLevel="0" collapsed="false">
      <c r="D935" s="71"/>
    </row>
    <row r="936" customFormat="false" ht="15" hidden="false" customHeight="false" outlineLevel="0" collapsed="false">
      <c r="D936" s="71"/>
    </row>
    <row r="937" customFormat="false" ht="15" hidden="false" customHeight="false" outlineLevel="0" collapsed="false">
      <c r="D937" s="71"/>
    </row>
    <row r="938" customFormat="false" ht="15" hidden="false" customHeight="false" outlineLevel="0" collapsed="false">
      <c r="D938" s="71"/>
    </row>
    <row r="939" customFormat="false" ht="15" hidden="false" customHeight="false" outlineLevel="0" collapsed="false">
      <c r="D939" s="71"/>
    </row>
    <row r="940" customFormat="false" ht="15" hidden="false" customHeight="false" outlineLevel="0" collapsed="false">
      <c r="D940" s="71"/>
    </row>
    <row r="941" customFormat="false" ht="15" hidden="false" customHeight="false" outlineLevel="0" collapsed="false">
      <c r="D941" s="71"/>
    </row>
    <row r="942" customFormat="false" ht="15" hidden="false" customHeight="false" outlineLevel="0" collapsed="false">
      <c r="D942" s="71"/>
    </row>
    <row r="943" customFormat="false" ht="15" hidden="false" customHeight="false" outlineLevel="0" collapsed="false">
      <c r="D943" s="71"/>
    </row>
    <row r="944" customFormat="false" ht="15" hidden="false" customHeight="false" outlineLevel="0" collapsed="false">
      <c r="D944" s="71"/>
    </row>
    <row r="945" customFormat="false" ht="15" hidden="false" customHeight="false" outlineLevel="0" collapsed="false">
      <c r="D945" s="71"/>
    </row>
    <row r="946" customFormat="false" ht="15" hidden="false" customHeight="false" outlineLevel="0" collapsed="false">
      <c r="D946" s="71"/>
    </row>
    <row r="947" customFormat="false" ht="15" hidden="false" customHeight="false" outlineLevel="0" collapsed="false">
      <c r="D947" s="71"/>
    </row>
    <row r="948" customFormat="false" ht="15" hidden="false" customHeight="false" outlineLevel="0" collapsed="false">
      <c r="D948" s="71"/>
    </row>
    <row r="949" customFormat="false" ht="15" hidden="false" customHeight="false" outlineLevel="0" collapsed="false">
      <c r="D949" s="71"/>
    </row>
    <row r="950" customFormat="false" ht="15" hidden="false" customHeight="false" outlineLevel="0" collapsed="false">
      <c r="D950" s="71"/>
    </row>
    <row r="951" customFormat="false" ht="15" hidden="false" customHeight="false" outlineLevel="0" collapsed="false">
      <c r="D951" s="71"/>
    </row>
    <row r="952" customFormat="false" ht="15" hidden="false" customHeight="false" outlineLevel="0" collapsed="false">
      <c r="D952" s="71"/>
    </row>
    <row r="953" customFormat="false" ht="15" hidden="false" customHeight="false" outlineLevel="0" collapsed="false">
      <c r="D953" s="71"/>
    </row>
    <row r="954" customFormat="false" ht="15" hidden="false" customHeight="false" outlineLevel="0" collapsed="false">
      <c r="D954" s="71"/>
    </row>
    <row r="955" customFormat="false" ht="15" hidden="false" customHeight="false" outlineLevel="0" collapsed="false">
      <c r="D955" s="71"/>
    </row>
    <row r="956" customFormat="false" ht="15" hidden="false" customHeight="false" outlineLevel="0" collapsed="false">
      <c r="D956" s="71"/>
    </row>
    <row r="957" customFormat="false" ht="15" hidden="false" customHeight="false" outlineLevel="0" collapsed="false">
      <c r="D957" s="71"/>
    </row>
    <row r="958" customFormat="false" ht="15" hidden="false" customHeight="false" outlineLevel="0" collapsed="false">
      <c r="D958" s="71"/>
    </row>
    <row r="959" customFormat="false" ht="15" hidden="false" customHeight="false" outlineLevel="0" collapsed="false">
      <c r="D959" s="71"/>
    </row>
    <row r="960" customFormat="false" ht="15" hidden="false" customHeight="false" outlineLevel="0" collapsed="false">
      <c r="D960" s="71"/>
    </row>
    <row r="961" customFormat="false" ht="15" hidden="false" customHeight="false" outlineLevel="0" collapsed="false">
      <c r="D961" s="71"/>
    </row>
    <row r="962" customFormat="false" ht="15" hidden="false" customHeight="false" outlineLevel="0" collapsed="false">
      <c r="D962" s="71"/>
    </row>
    <row r="963" customFormat="false" ht="15" hidden="false" customHeight="false" outlineLevel="0" collapsed="false">
      <c r="D963" s="71"/>
    </row>
    <row r="964" customFormat="false" ht="15" hidden="false" customHeight="false" outlineLevel="0" collapsed="false">
      <c r="D964" s="71"/>
    </row>
    <row r="965" customFormat="false" ht="15" hidden="false" customHeight="false" outlineLevel="0" collapsed="false">
      <c r="D965" s="71"/>
    </row>
    <row r="966" customFormat="false" ht="15" hidden="false" customHeight="false" outlineLevel="0" collapsed="false">
      <c r="D966" s="71"/>
    </row>
    <row r="967" customFormat="false" ht="15" hidden="false" customHeight="false" outlineLevel="0" collapsed="false">
      <c r="D967" s="71"/>
    </row>
    <row r="968" customFormat="false" ht="15" hidden="false" customHeight="false" outlineLevel="0" collapsed="false">
      <c r="D968" s="71"/>
    </row>
    <row r="969" customFormat="false" ht="15" hidden="false" customHeight="false" outlineLevel="0" collapsed="false">
      <c r="D969" s="71"/>
    </row>
    <row r="970" customFormat="false" ht="15" hidden="false" customHeight="false" outlineLevel="0" collapsed="false">
      <c r="D970" s="71"/>
    </row>
    <row r="971" customFormat="false" ht="15" hidden="false" customHeight="false" outlineLevel="0" collapsed="false">
      <c r="D971" s="71"/>
    </row>
    <row r="972" customFormat="false" ht="15" hidden="false" customHeight="false" outlineLevel="0" collapsed="false">
      <c r="D972" s="71"/>
    </row>
    <row r="973" customFormat="false" ht="15" hidden="false" customHeight="false" outlineLevel="0" collapsed="false">
      <c r="D973" s="71"/>
    </row>
    <row r="974" customFormat="false" ht="15" hidden="false" customHeight="false" outlineLevel="0" collapsed="false">
      <c r="D974" s="71"/>
    </row>
    <row r="975" customFormat="false" ht="15" hidden="false" customHeight="false" outlineLevel="0" collapsed="false">
      <c r="D975" s="71"/>
    </row>
    <row r="976" customFormat="false" ht="15" hidden="false" customHeight="false" outlineLevel="0" collapsed="false">
      <c r="D976" s="71"/>
    </row>
    <row r="977" customFormat="false" ht="15" hidden="false" customHeight="false" outlineLevel="0" collapsed="false">
      <c r="D977" s="71"/>
    </row>
    <row r="978" customFormat="false" ht="15" hidden="false" customHeight="false" outlineLevel="0" collapsed="false">
      <c r="D978" s="71"/>
    </row>
    <row r="979" customFormat="false" ht="15" hidden="false" customHeight="false" outlineLevel="0" collapsed="false">
      <c r="D979" s="71"/>
    </row>
    <row r="980" customFormat="false" ht="15" hidden="false" customHeight="false" outlineLevel="0" collapsed="false">
      <c r="D980" s="71"/>
    </row>
    <row r="981" customFormat="false" ht="15" hidden="false" customHeight="false" outlineLevel="0" collapsed="false">
      <c r="D981" s="71"/>
    </row>
    <row r="982" customFormat="false" ht="15" hidden="false" customHeight="false" outlineLevel="0" collapsed="false">
      <c r="D982" s="71"/>
    </row>
    <row r="983" customFormat="false" ht="15" hidden="false" customHeight="false" outlineLevel="0" collapsed="false">
      <c r="D983" s="71"/>
    </row>
    <row r="984" customFormat="false" ht="15" hidden="false" customHeight="false" outlineLevel="0" collapsed="false">
      <c r="D984" s="71"/>
    </row>
    <row r="985" customFormat="false" ht="15" hidden="false" customHeight="false" outlineLevel="0" collapsed="false">
      <c r="D985" s="71"/>
    </row>
    <row r="986" customFormat="false" ht="15" hidden="false" customHeight="false" outlineLevel="0" collapsed="false">
      <c r="D986" s="71"/>
    </row>
    <row r="987" customFormat="false" ht="15" hidden="false" customHeight="false" outlineLevel="0" collapsed="false">
      <c r="D987" s="71"/>
    </row>
    <row r="988" customFormat="false" ht="15" hidden="false" customHeight="false" outlineLevel="0" collapsed="false">
      <c r="D988" s="71"/>
    </row>
    <row r="989" customFormat="false" ht="15" hidden="false" customHeight="false" outlineLevel="0" collapsed="false">
      <c r="D989" s="71"/>
    </row>
    <row r="990" customFormat="false" ht="15" hidden="false" customHeight="false" outlineLevel="0" collapsed="false">
      <c r="D990" s="71"/>
    </row>
    <row r="991" customFormat="false" ht="15" hidden="false" customHeight="false" outlineLevel="0" collapsed="false">
      <c r="D991" s="71"/>
    </row>
    <row r="992" customFormat="false" ht="15" hidden="false" customHeight="false" outlineLevel="0" collapsed="false">
      <c r="D992" s="71"/>
    </row>
    <row r="993" customFormat="false" ht="15" hidden="false" customHeight="false" outlineLevel="0" collapsed="false">
      <c r="D993" s="71"/>
    </row>
    <row r="994" customFormat="false" ht="15" hidden="false" customHeight="false" outlineLevel="0" collapsed="false">
      <c r="D994" s="71"/>
    </row>
    <row r="995" customFormat="false" ht="15" hidden="false" customHeight="false" outlineLevel="0" collapsed="false">
      <c r="D995" s="71"/>
    </row>
    <row r="996" customFormat="false" ht="15" hidden="false" customHeight="false" outlineLevel="0" collapsed="false">
      <c r="D996" s="71"/>
    </row>
    <row r="997" customFormat="false" ht="15" hidden="false" customHeight="false" outlineLevel="0" collapsed="false">
      <c r="D997" s="71"/>
    </row>
    <row r="998" customFormat="false" ht="15" hidden="false" customHeight="false" outlineLevel="0" collapsed="false">
      <c r="D998" s="71"/>
    </row>
    <row r="999" customFormat="false" ht="15" hidden="false" customHeight="false" outlineLevel="0" collapsed="false">
      <c r="D999" s="71"/>
    </row>
    <row r="1000" customFormat="false" ht="15" hidden="false" customHeight="false" outlineLevel="0" collapsed="false">
      <c r="D1000" s="71"/>
    </row>
    <row r="1001" customFormat="false" ht="15" hidden="false" customHeight="false" outlineLevel="0" collapsed="false">
      <c r="D1001" s="71"/>
    </row>
    <row r="1002" customFormat="false" ht="15" hidden="false" customHeight="false" outlineLevel="0" collapsed="false">
      <c r="D1002" s="71"/>
    </row>
    <row r="1003" customFormat="false" ht="15" hidden="false" customHeight="false" outlineLevel="0" collapsed="false">
      <c r="D1003" s="71"/>
    </row>
    <row r="1004" customFormat="false" ht="15" hidden="false" customHeight="false" outlineLevel="0" collapsed="false">
      <c r="D1004" s="71"/>
    </row>
    <row r="1005" customFormat="false" ht="15" hidden="false" customHeight="false" outlineLevel="0" collapsed="false">
      <c r="D1005" s="71"/>
    </row>
    <row r="1006" customFormat="false" ht="15" hidden="false" customHeight="false" outlineLevel="0" collapsed="false">
      <c r="D1006" s="71"/>
    </row>
    <row r="1007" customFormat="false" ht="15" hidden="false" customHeight="false" outlineLevel="0" collapsed="false">
      <c r="D1007" s="71"/>
    </row>
  </sheetData>
  <mergeCells count="2">
    <mergeCell ref="B25:B31"/>
    <mergeCell ref="B34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2026-09-26T08:45:33Z</dcterms:created>
  <dc:creator>openpyxl</dc:creator>
  <dc:description/>
  <dc:language>en-US</dc:language>
  <cp:lastModifiedBy/>
  <dcterms:modified xsi:type="dcterms:W3CDTF">2026-09-26T08:45:33Z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