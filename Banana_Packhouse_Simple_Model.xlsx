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Economics" sheetId="1" state="visible" r:id="rId3"/>
    <sheet name="Changes Ma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<sst xmlns="http://schemas.openxmlformats.org/spreadsheetml/2006/main" count="258" uniqueCount="190">
  <si>
    <t xml:space="preserve">Banana Packhouse &amp; Cooling – Unit Economics (Sitpur, Vadodara)</t>
  </si>
  <si>
    <t xml:space="preserve">Pre-ripened (green) premium bananas sold by the truck. Blue = input you can change (lower / middle / upper). All calculations use the MIDDLE column; lower and upper show the range. ₹ L = ₹ lakh.</t>
  </si>
  <si>
    <t xml:space="preserve">1. KEY ASSUMPTIONS OF THE MODEL</t>
  </si>
  <si>
    <t xml:space="preserve">Assumption</t>
  </si>
  <si>
    <t xml:space="preserve">Lower</t>
  </si>
  <si>
    <t xml:space="preserve">Middle (used)</t>
  </si>
  <si>
    <t xml:space="preserve">Upper</t>
  </si>
  <si>
    <t xml:space="preserve">Unit</t>
  </si>
  <si>
    <t xml:space="preserve">Notes</t>
  </si>
  <si>
    <t xml:space="preserve">Truck loads sold per day</t>
  </si>
  <si>
    <t xml:space="preserve">trucks/day</t>
  </si>
  <si>
    <t xml:space="preserve">Assumption: we sell at least 3 truck loads a day.</t>
  </si>
  <si>
    <t xml:space="preserve">Tonnes per truck</t>
  </si>
  <si>
    <t xml:space="preserve">t/truck</t>
  </si>
  <si>
    <t xml:space="preserve">12 t per truck.</t>
  </si>
  <si>
    <t xml:space="preserve">Sellable output per day</t>
  </si>
  <si>
    <t xml:space="preserve">t/day</t>
  </si>
  <si>
    <t xml:space="preserve">3 trucks × 12 t = 36 t a day.</t>
  </si>
  <si>
    <t xml:space="preserve">Operating days per year</t>
  </si>
  <si>
    <t xml:space="preserve">days/yr</t>
  </si>
  <si>
    <t xml:space="preserve">Estimate. Staggered harvest from Sitpur and nearby growers keeps the packhouse running most of the year.</t>
  </si>
  <si>
    <t xml:space="preserve">Sellable output per year</t>
  </si>
  <si>
    <t xml:space="preserve">t/yr</t>
  </si>
  <si>
    <t xml:space="preserve">Middle: 36 t × 300 days = 10,800 t (900 trucks).</t>
  </si>
  <si>
    <t xml:space="preserve">Post-harvest loss – our system</t>
  </si>
  <si>
    <t xml:space="preserve">% of fruit</t>
  </si>
  <si>
    <t xml:space="preserve">Assumption: pre-cooling, cold chain and careful grading cut losses to 5%.</t>
  </si>
  <si>
    <t xml:space="preserve">Post-harvest loss – traditional handling</t>
  </si>
  <si>
    <t xml:space="preserve">Usual losses in traditional banana handling are ~40% (industry estimates 25–40%).</t>
  </si>
  <si>
    <t xml:space="preserve">Raw bananas to buy per day</t>
  </si>
  <si>
    <t xml:space="preserve">Sellable output ÷ (1 − 5% loss).</t>
  </si>
  <si>
    <t xml:space="preserve">Cost of growing premium banana (own farm)</t>
  </si>
  <si>
    <t xml:space="preserve">₹/kg</t>
  </si>
  <si>
    <t xml:space="preserve">Cost of production for premium banana is about ₹11/kg.</t>
  </si>
  <si>
    <t xml:space="preserve">Packhouse workers per day</t>
  </si>
  <si>
    <t xml:space="preserve">workers</t>
  </si>
  <si>
    <t xml:space="preserve">De-handing, washing, grading and packing crew for 36 t a day (loaders and cleaners are counted separately).</t>
  </si>
  <si>
    <t xml:space="preserve">Packhouse worker wage</t>
  </si>
  <si>
    <t xml:space="preserve">₹/day</t>
  </si>
  <si>
    <t xml:space="preserve">Gujarat minimum wage for unskilled workers (Apr–Sep 2026).</t>
  </si>
  <si>
    <t xml:space="preserve">Our edge vs traditional handling, per kg sold</t>
  </si>
  <si>
    <t xml:space="preserve">With ~40% loss, each kg sold costs ₹22.50 of fruit; with 5% loss it costs ₹14.21. This ~₹8/kg saving is our edge.</t>
  </si>
  <si>
    <t xml:space="preserve">Own-farm profit when Sitpur sells to the packhouse</t>
  </si>
  <si>
    <t xml:space="preserve">Packhouse pays ₹13.5; growing costs ₹11, so the farm keeps ~₹2.5/kg (₹3 at ₹14).</t>
  </si>
  <si>
    <t xml:space="preserve">THE MOAT</t>
  </si>
  <si>
    <t xml:space="preserve">Our real advantage is the operating system (pre-cooling, cold chain, grading, 5% loss instead of ~40%) plus economies of scale (3 trucks a day spreads fixed costs thin). Traditional traders cannot match our cost per kg sold.</t>
  </si>
  <si>
    <t xml:space="preserve">2. VARIABLE COSTS (₹ per kg sold)</t>
  </si>
  <si>
    <t xml:space="preserve">Cost component</t>
  </si>
  <si>
    <t xml:space="preserve">Cost per kg (₹)</t>
  </si>
  <si>
    <t xml:space="preserve">Cost per truck of 12 t (₹)</t>
  </si>
  <si>
    <t xml:space="preserve">Raw banana procurement</t>
  </si>
  <si>
    <t xml:space="preserve">Premium bananas cost ~₹11/kg to grow; farmers charge ₹14 at most. We use ₹13.5. Raw fruit has no depreciation.</t>
  </si>
  <si>
    <t xml:space="preserve">Post-harvest loss allowance (5%)</t>
  </si>
  <si>
    <t xml:space="preserve">Extra fruit bought to cover the 5% loss (procurement × 5% ÷ 95%).</t>
  </si>
  <si>
    <t xml:space="preserve">Harvesting &amp; field carrying</t>
  </si>
  <si>
    <t xml:space="preserve">Your note: 10 carriers + 3 harvesters at up to ₹1,000/day handle 13 t a day. Set to 0 if the farmer delivers harvested fruit.</t>
  </si>
  <si>
    <t xml:space="preserve">Transport farm → packhouse</t>
  </si>
  <si>
    <t xml:space="preserve">Tractor/tempo from farms within ~40 km.</t>
  </si>
  <si>
    <t xml:space="preserve">Packhouse labour (de-handing, washing, grading, packing)</t>
  </si>
  <si>
    <t xml:space="preserve">20 / 25 / 30 workers × ₹512.50 a day ÷ 36,000 kg sold a day. Scale brings this well below the ₹1.50 in your first draft (which assumed 13 t a day).</t>
  </si>
  <si>
    <t xml:space="preserve">Post-harvest treatment (alum wash + fungicide dip + wash water)</t>
  </si>
  <si>
    <t xml:space="preserve">One line for all treatment. No separate chemical line.</t>
  </si>
  <si>
    <t xml:space="preserve">Packaging (13 kg carton, liner, label)</t>
  </si>
  <si>
    <t xml:space="preserve">Middle: printed 13 kg carton ₹60 + liner ₹5 + label ₹2 = ₹67/carton. Lower: returnable plastic crates. Upper: export-grade carton.</t>
  </si>
  <si>
    <t xml:space="preserve">Electricity – ALL power (counted once)</t>
  </si>
  <si>
    <t xml:space="preserve">Only power line in the model. Mostly the cooling chambers: pre-cooling ~20 kWh/t + holding in only the chambers in use ~5 kWh/t + packing line ~3 kWh/t = ~28 kWh/t × ₹8.5/kWh, plus demand charges.</t>
  </si>
  <si>
    <t xml:space="preserve">Loading, unloading &amp; cleaning staff</t>
  </si>
  <si>
    <t xml:space="preserve">3–4 loaders at up to ₹1,000/day + 2 cleaners ≈ ₹4,200/day ÷ 36 t.</t>
  </si>
  <si>
    <t xml:space="preserve">Delivery to buyer (reefer truck, 12 t)</t>
  </si>
  <si>
    <t xml:space="preserve">Per truck: ~₹16,000 Ahmedabad (lower), ~₹35,000 Mumbai (middle), ~₹80,000 Delhi (upper). Get transporter quotes.</t>
  </si>
  <si>
    <t xml:space="preserve">Subtotal – variable cost per kg sold</t>
  </si>
  <si>
    <t xml:space="preserve">Selling costs (trade margin, claims, payment delay)</t>
  </si>
  <si>
    <t xml:space="preserve">% of selling price</t>
  </si>
  <si>
    <t xml:space="preserve">Charged as a % of the selling price, so it is added in the price calculation (section 6), not above.</t>
  </si>
  <si>
    <t xml:space="preserve">3. FIXED COSTS (₹ lakh per year)</t>
  </si>
  <si>
    <t xml:space="preserve">Staff salaries</t>
  </si>
  <si>
    <t xml:space="preserve">₹ L/yr</t>
  </si>
  <si>
    <t xml:space="preserve">Packhouse manager, 2 supervisors, QA/dispatch, cooling technician, accountant, 2 security guards (Vadodara pay levels).</t>
  </si>
  <si>
    <t xml:space="preserve">Admin (travel, stationery, software, phone, audit)</t>
  </si>
  <si>
    <t xml:space="preserve">Capped at ₹15 L a year.</t>
  </si>
  <si>
    <t xml:space="preserve">Licences &amp; certifications (FSSAI, APEDA, GlobalG.A.P.)</t>
  </si>
  <si>
    <t xml:space="preserve">Annual fees and audits.</t>
  </si>
  <si>
    <t xml:space="preserve">Repairs, maintenance &amp; insurance</t>
  </si>
  <si>
    <t xml:space="preserve">About 2–3% of equipment cost plus asset insurance.</t>
  </si>
  <si>
    <t xml:space="preserve">Site rent (≈4 acres at Sitpur)</t>
  </si>
  <si>
    <t xml:space="preserve">At ₹50,000/acre/yr; zero if the family provides the land.</t>
  </si>
  <si>
    <t xml:space="preserve">Depreciation (equipment &amp; buildings)</t>
  </si>
  <si>
    <t xml:space="preserve">Equipment &amp; buildings ÷ average life. Applies only to assets, not to bananas.</t>
  </si>
  <si>
    <t xml:space="preserve">Interest (term loan + working capital)</t>
  </si>
  <si>
    <t xml:space="preserve">Year-1 interest on the bank loan and on the working-capital loan.</t>
  </si>
  <si>
    <t xml:space="preserve">Subtotal – fixed cost per year</t>
  </si>
  <si>
    <t xml:space="preserve">Per kg = fixed cost ÷ 10,800 t sold a year. More trucks a day → lower cost per kg.</t>
  </si>
  <si>
    <t xml:space="preserve">Fixed cost per kg sold</t>
  </si>
  <si>
    <t xml:space="preserve">Each column uses its own operating days.</t>
  </si>
  <si>
    <t xml:space="preserve">4. TOTAL COST</t>
  </si>
  <si>
    <t xml:space="preserve">TOTAL COST per kg sold (before selling costs)</t>
  </si>
  <si>
    <t xml:space="preserve">Variable + fixed. Power, labour and treatment each appear only once.</t>
  </si>
  <si>
    <t xml:space="preserve">5. MONEY WE PUT IN (₹ lakh)</t>
  </si>
  <si>
    <t xml:space="preserve">Item</t>
  </si>
  <si>
    <t xml:space="preserve">Packhouse building + grading &amp; packing line (~40 t/day)</t>
  </si>
  <si>
    <t xml:space="preserve">₹ L</t>
  </si>
  <si>
    <t xml:space="preserve">Market listing ~₹90 L for an integrated packhouse; your DPR has ₹68 L.</t>
  </si>
  <si>
    <t xml:space="preserve">Forced-air pre-cooling (removes field heat)</t>
  </si>
  <si>
    <t xml:space="preserve">2 units × 6 t batch, 3 batches a day ≈ 36 t/day. Government cost norm ₹25 L per unit; market ~₹30 L.</t>
  </si>
  <si>
    <t xml:space="preserve">Cooling chambers: 4 small chambers × 10 t (13 °C)</t>
  </si>
  <si>
    <t xml:space="preserve">No ripening chamber. Four small chambers instead of one big room, so we only cool (and pay power for) the chambers holding fruit, e.g. a 30 t shipment. ~₹15–30k per tonne of space.</t>
  </si>
  <si>
    <t xml:space="preserve">Backup generator</t>
  </si>
  <si>
    <t xml:space="preserve">Keeps cooling running during power cuts.</t>
  </si>
  <si>
    <t xml:space="preserve">Electrical connection, transformer, panels</t>
  </si>
  <si>
    <t xml:space="preserve">Water supply &amp; wash-water treatment</t>
  </si>
  <si>
    <t xml:space="preserve">Estate borewells + treatment.</t>
  </si>
  <si>
    <t xml:space="preserve">Plastic field crates (3,000 × ₹350)</t>
  </si>
  <si>
    <t xml:space="preserve">Scales, pallet trucks, QC tools, office</t>
  </si>
  <si>
    <t xml:space="preserve">Site development (roads, drainage, fencing)</t>
  </si>
  <si>
    <t xml:space="preserve">Contingency (5%)</t>
  </si>
  <si>
    <t xml:space="preserve">Buffer for price changes and extras.</t>
  </si>
  <si>
    <t xml:space="preserve">Total equipment &amp; buildings</t>
  </si>
  <si>
    <t xml:space="preserve">Less: government subsidy (MIDH 35%)</t>
  </si>
  <si>
    <t xml:space="preserve">35% of eligible cost, capped at the scheme's cost norms. Paid 1–2 years after completion, so it must be bridged.</t>
  </si>
  <si>
    <t xml:space="preserve">Net equipment &amp; buildings</t>
  </si>
  <si>
    <t xml:space="preserve">Days customers take to pay</t>
  </si>
  <si>
    <t xml:space="preserve">days</t>
  </si>
  <si>
    <t xml:space="preserve">Cash buyers pay in about a week; modern trade and quick-commerce take 30–45 days.</t>
  </si>
  <si>
    <t xml:space="preserve">Days before we pay farmers</t>
  </si>
  <si>
    <t xml:space="preserve">Weekly payment to growers.</t>
  </si>
  <si>
    <t xml:space="preserve">Working capital (cash stuck in customer bills)</t>
  </si>
  <si>
    <t xml:space="preserve">Unpaid customer bills minus unpaid farmer bills. This money is needed but not spent.</t>
  </si>
  <si>
    <t xml:space="preserve">TOTAL MONEY WE PUT IN</t>
  </si>
  <si>
    <t xml:space="preserve">Net equipment &amp; buildings + working capital.</t>
  </si>
  <si>
    <t xml:space="preserve">Share funded by bank loan</t>
  </si>
  <si>
    <t xml:space="preserve">%</t>
  </si>
  <si>
    <t xml:space="preserve">Rest from promoters.</t>
  </si>
  <si>
    <t xml:space="preserve">Term-loan interest after 3% AIF subvention</t>
  </si>
  <si>
    <t xml:space="preserve">% a year</t>
  </si>
  <si>
    <t xml:space="preserve">Bank ~10.5% minus 3% Agriculture Infrastructure Fund subvention.</t>
  </si>
  <si>
    <t xml:space="preserve">Working-capital loan interest</t>
  </si>
  <si>
    <t xml:space="preserve">Bank cash-credit rate.</t>
  </si>
  <si>
    <t xml:space="preserve">Average equipment life</t>
  </si>
  <si>
    <t xml:space="preserve">years</t>
  </si>
  <si>
    <t xml:space="preserve">Used for depreciation.</t>
  </si>
  <si>
    <t xml:space="preserve">6. RESULTS – WHAT WE GET</t>
  </si>
  <si>
    <t xml:space="preserve">Result</t>
  </si>
  <si>
    <t xml:space="preserve">Lower cost case</t>
  </si>
  <si>
    <t xml:space="preserve">Upper cost case</t>
  </si>
  <si>
    <t xml:space="preserve">Per truck of 12 t (₹)</t>
  </si>
  <si>
    <t xml:space="preserve">Output – bananas sold per year</t>
  </si>
  <si>
    <t xml:space="preserve">tonnes</t>
  </si>
  <si>
    <t xml:space="preserve">That is 900 truck loads a year in the middle case.</t>
  </si>
  <si>
    <t xml:space="preserve">Expected selling price (premium green banana, delivered)</t>
  </si>
  <si>
    <t xml:space="preserve">Market estimate: Gujarat wholesale ₹12–45/kg; retail ₹54–68/kg (ripe); your DPR ₹26/kg. All results use the middle price (₹28). Validate with buyers.</t>
  </si>
  <si>
    <t xml:space="preserve">Revenue per year</t>
  </si>
  <si>
    <t xml:space="preserve">Middle price × tonnes sold.</t>
  </si>
  <si>
    <t xml:space="preserve">BREAKEVEN SELLING PRICE</t>
  </si>
  <si>
    <t xml:space="preserve">Price at which we make zero profit (covers all costs + selling costs).</t>
  </si>
  <si>
    <t xml:space="preserve">Target profit margin</t>
  </si>
  <si>
    <t xml:space="preserve">% of price</t>
  </si>
  <si>
    <t xml:space="preserve">Change to test other targets.</t>
  </si>
  <si>
    <t xml:space="preserve">PROFITABLE SELLING PRICE (at target margin)</t>
  </si>
  <si>
    <t xml:space="preserve">Price needed to earn the target margin on every kg.</t>
  </si>
  <si>
    <t xml:space="preserve">Profit per kg at the expected price</t>
  </si>
  <si>
    <t xml:space="preserve">Middle price minus all costs.</t>
  </si>
  <si>
    <t xml:space="preserve">Profit per year</t>
  </si>
  <si>
    <t xml:space="preserve">Before tax.</t>
  </si>
  <si>
    <t xml:space="preserve">Years to get our money back</t>
  </si>
  <si>
    <t xml:space="preserve">Total money put in ÷ yearly cash (profit + depreciation).</t>
  </si>
  <si>
    <t xml:space="preserve">Bottom line</t>
  </si>
  <si>
    <t xml:space="preserve">How each review comment was handled</t>
  </si>
  <si>
    <t xml:space="preserve">#</t>
  </si>
  <si>
    <t xml:space="preserve">Comment</t>
  </si>
  <si>
    <t xml:space="preserve">What changed</t>
  </si>
  <si>
    <t xml:space="preserve">Start with the assumptions: 3 trucks × 12 t; losses 5% vs 40% traditional; operating system + scale is the moat</t>
  </si>
  <si>
    <t xml:space="preserve">Section 1 of the main sheet now opens with these, and quantifies the edge (~₹8/kg).</t>
  </si>
  <si>
    <t xml:space="preserve">Power counted many times</t>
  </si>
  <si>
    <t xml:space="preserve">Power is now ONE line (Electricity – all power). No other line includes electricity.</t>
  </si>
  <si>
    <t xml:space="preserve">Admin too high – travel, stationery, software; ₹15 L max</t>
  </si>
  <si>
    <t xml:space="preserve">Admin is ₹8 / 12 / 15 L a year (lower / middle / upper). Salaries are shown separately at Vadodara levels.</t>
  </si>
  <si>
    <t xml:space="preserve">Costs repeating; cooling chamber power is the main power cost</t>
  </si>
  <si>
    <t xml:space="preserve">Duplicates removed. The power note shows the cooling chambers make up most of it; the packing line is small (~3 kWh/t).</t>
  </si>
  <si>
    <t xml:space="preserve">Extra ₹0.40 chemical treatment is double counting</t>
  </si>
  <si>
    <t xml:space="preserve">One line only: alum wash + fungicide dip + wash water, ₹0.40/kg.</t>
  </si>
  <si>
    <t xml:space="preserve">Cold storage looked like a ripening chamber; use 4 small cooling chambers so we only cool what we hold</t>
  </si>
  <si>
    <t xml:space="preserve">No ripening chamber. Four 10 t chambers (₹8.8 L middle) replace the 100 MT store. Power is only paid for the chambers in use.</t>
  </si>
  <si>
    <t xml:space="preserve">Don't need 50 workers a day; just 3–4 loaders plus cleaning staff</t>
  </si>
  <si>
    <t xml:space="preserve">Farm workers removed from the packhouse. Loading, unloading &amp; cleaning = 3–4 loaders + 2 cleaners (₹0.12/kg). Packhouse crew set to 20–30 workers (25 used).</t>
  </si>
  <si>
    <t xml:space="preserve">Procurement has no depreciation; premium costs ₹11 to grow, farmers charge ≤ ₹14; use ₹13.5; own farm earns ~₹3</t>
  </si>
  <si>
    <t xml:space="preserve">Procurement is ₹11 / 13.5 / 14, no depreciation. Own-farm profit row added (₹2.5/kg at ₹13.5). Depreciation applies only to equipment.</t>
  </si>
  <si>
    <t xml:space="preserve">Lower, upper and middle for every cost, like the draft</t>
  </si>
  <si>
    <t xml:space="preserve">Every cost has lower / middle / upper. All results use the middle column.</t>
  </si>
  <si>
    <t xml:space="preserve">End with money put in, output, profitable and breakeven selling price</t>
  </si>
  <si>
    <t xml:space="preserve">Section 6 shows money put in, output, breakeven price, profitable price, profit a year and payback.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</si>
</sst>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-#,##0;\-"/>
    <numFmt numFmtId="166" formatCode="0%"/>
    <numFmt numFmtId="167" formatCode="#,##0.0;\-#,##0.0;\-"/>
    <numFmt numFmtId="168" formatCode="\₹#,##0.00;&quot;-₹&quot;#,##0.00;\-"/>
    <numFmt numFmtId="169" formatCode="\₹#,##0;&quot;-₹&quot;#,##0;\-"/>
    <numFmt numFmtId="170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4E3D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1F4E3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E2EFDA"/>
      </patternFill>
    </fill>
    <fill>
      <patternFill patternType="solid">
        <fgColor rgb="FF1F4E3D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AD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8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3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7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7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/>
      <c r="C4" s="4"/>
      <c r="D4" s="4"/>
      <c r="E4" s="4"/>
      <c r="F4" s="4"/>
      <c r="G4" s="4"/>
      <c r="H4" s="4"/>
    </row>
    <row r="5" customFormat="false" ht="30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/>
      <c r="G5" s="5"/>
      <c r="H5" s="5" t="s">
        <v>8</v>
      </c>
    </row>
    <row r="6" customFormat="false" ht="15" hidden="false" customHeight="false" outlineLevel="0" collapsed="false">
      <c r="A6" s="6" t="s">
        <v>9</v>
      </c>
      <c r="B6" s="7" t="n">
        <v>3</v>
      </c>
      <c r="C6" s="7" t="n">
        <v>3</v>
      </c>
      <c r="D6" s="7" t="n">
        <v>3</v>
      </c>
      <c r="E6" s="8" t="s">
        <v>10</v>
      </c>
      <c r="F6" s="8"/>
      <c r="G6" s="8"/>
      <c r="H6" s="9" t="s">
        <v>11</v>
      </c>
    </row>
    <row r="7" customFormat="false" ht="15" hidden="false" customHeight="false" outlineLevel="0" collapsed="false">
      <c r="A7" s="6" t="s">
        <v>12</v>
      </c>
      <c r="B7" s="7" t="n">
        <v>12</v>
      </c>
      <c r="C7" s="7" t="n">
        <v>12</v>
      </c>
      <c r="D7" s="7" t="n">
        <v>12</v>
      </c>
      <c r="E7" s="8" t="s">
        <v>13</v>
      </c>
      <c r="F7" s="8"/>
      <c r="G7" s="8"/>
      <c r="H7" s="9" t="s">
        <v>14</v>
      </c>
    </row>
    <row r="8" customFormat="false" ht="15" hidden="false" customHeight="false" outlineLevel="0" collapsed="false">
      <c r="A8" s="6" t="s">
        <v>15</v>
      </c>
      <c r="B8" s="10" t="n">
        <f aca="false">B6*B7</f>
        <v>36</v>
      </c>
      <c r="C8" s="10" t="n">
        <f aca="false">C6*C7</f>
        <v>36</v>
      </c>
      <c r="D8" s="10" t="n">
        <f aca="false">D6*D7</f>
        <v>36</v>
      </c>
      <c r="E8" s="8" t="s">
        <v>16</v>
      </c>
      <c r="F8" s="8"/>
      <c r="G8" s="8"/>
      <c r="H8" s="9" t="s">
        <v>17</v>
      </c>
    </row>
    <row r="9" customFormat="false" ht="15" hidden="false" customHeight="false" outlineLevel="0" collapsed="false">
      <c r="A9" s="6" t="s">
        <v>18</v>
      </c>
      <c r="B9" s="7" t="n">
        <v>270</v>
      </c>
      <c r="C9" s="7" t="n">
        <v>300</v>
      </c>
      <c r="D9" s="7" t="n">
        <v>330</v>
      </c>
      <c r="E9" s="8" t="s">
        <v>19</v>
      </c>
      <c r="F9" s="8"/>
      <c r="G9" s="8"/>
      <c r="H9" s="9" t="s">
        <v>20</v>
      </c>
    </row>
    <row r="10" customFormat="false" ht="15" hidden="false" customHeight="false" outlineLevel="0" collapsed="false">
      <c r="A10" s="6" t="s">
        <v>21</v>
      </c>
      <c r="B10" s="10" t="n">
        <f aca="false">B8*B9</f>
        <v>9720</v>
      </c>
      <c r="C10" s="10" t="n">
        <f aca="false">C8*C9</f>
        <v>10800</v>
      </c>
      <c r="D10" s="10" t="n">
        <f aca="false">D8*D9</f>
        <v>11880</v>
      </c>
      <c r="E10" s="8" t="s">
        <v>22</v>
      </c>
      <c r="F10" s="8"/>
      <c r="G10" s="8"/>
      <c r="H10" s="9" t="s">
        <v>23</v>
      </c>
    </row>
    <row r="11" customFormat="false" ht="15" hidden="false" customHeight="false" outlineLevel="0" collapsed="false">
      <c r="A11" s="6" t="s">
        <v>24</v>
      </c>
      <c r="B11" s="11" t="n">
        <v>0.05</v>
      </c>
      <c r="C11" s="11" t="n">
        <v>0.05</v>
      </c>
      <c r="D11" s="11" t="n">
        <v>0.05</v>
      </c>
      <c r="E11" s="8" t="s">
        <v>25</v>
      </c>
      <c r="F11" s="8"/>
      <c r="G11" s="8"/>
      <c r="H11" s="9" t="s">
        <v>26</v>
      </c>
    </row>
    <row r="12" customFormat="false" ht="15" hidden="false" customHeight="false" outlineLevel="0" collapsed="false">
      <c r="A12" s="6" t="s">
        <v>27</v>
      </c>
      <c r="B12" s="11" t="n">
        <v>0.25</v>
      </c>
      <c r="C12" s="11" t="n">
        <v>0.4</v>
      </c>
      <c r="D12" s="11" t="n">
        <v>0.4</v>
      </c>
      <c r="E12" s="8" t="s">
        <v>25</v>
      </c>
      <c r="F12" s="8"/>
      <c r="G12" s="8"/>
      <c r="H12" s="9" t="s">
        <v>28</v>
      </c>
    </row>
    <row r="13" customFormat="false" ht="15" hidden="false" customHeight="false" outlineLevel="0" collapsed="false">
      <c r="A13" s="6" t="s">
        <v>29</v>
      </c>
      <c r="B13" s="12" t="n">
        <f aca="false">B8/(1-B11)</f>
        <v>37.8947368421053</v>
      </c>
      <c r="C13" s="12" t="n">
        <f aca="false">C8/(1-C11)</f>
        <v>37.8947368421053</v>
      </c>
      <c r="D13" s="12" t="n">
        <f aca="false">D8/(1-D11)</f>
        <v>37.8947368421053</v>
      </c>
      <c r="E13" s="8" t="s">
        <v>16</v>
      </c>
      <c r="F13" s="8"/>
      <c r="G13" s="8"/>
      <c r="H13" s="9" t="s">
        <v>30</v>
      </c>
    </row>
    <row r="14" customFormat="false" ht="15" hidden="false" customHeight="false" outlineLevel="0" collapsed="false">
      <c r="A14" s="6" t="s">
        <v>31</v>
      </c>
      <c r="B14" s="13" t="n">
        <v>10</v>
      </c>
      <c r="C14" s="13" t="n">
        <v>11</v>
      </c>
      <c r="D14" s="13" t="n">
        <v>12</v>
      </c>
      <c r="E14" s="8" t="s">
        <v>32</v>
      </c>
      <c r="F14" s="8"/>
      <c r="G14" s="8"/>
      <c r="H14" s="9" t="s">
        <v>33</v>
      </c>
    </row>
    <row r="15" customFormat="false" ht="15" hidden="false" customHeight="false" outlineLevel="0" collapsed="false">
      <c r="A15" s="6" t="s">
        <v>34</v>
      </c>
      <c r="B15" s="7" t="n">
        <v>20</v>
      </c>
      <c r="C15" s="7" t="n">
        <v>25</v>
      </c>
      <c r="D15" s="7" t="n">
        <v>30</v>
      </c>
      <c r="E15" s="8" t="s">
        <v>35</v>
      </c>
      <c r="F15" s="8"/>
      <c r="G15" s="8"/>
      <c r="H15" s="9" t="s">
        <v>36</v>
      </c>
    </row>
    <row r="16" customFormat="false" ht="15" hidden="false" customHeight="false" outlineLevel="0" collapsed="false">
      <c r="A16" s="6" t="s">
        <v>37</v>
      </c>
      <c r="B16" s="13" t="n">
        <v>512.5</v>
      </c>
      <c r="C16" s="13" t="n">
        <v>512.5</v>
      </c>
      <c r="D16" s="13" t="n">
        <v>512.5</v>
      </c>
      <c r="E16" s="8" t="s">
        <v>38</v>
      </c>
      <c r="F16" s="8"/>
      <c r="G16" s="8"/>
      <c r="H16" s="9" t="s">
        <v>39</v>
      </c>
    </row>
    <row r="17" customFormat="false" ht="30" hidden="false" customHeight="true" outlineLevel="0" collapsed="false">
      <c r="A17" s="6" t="s">
        <v>40</v>
      </c>
      <c r="B17" s="14" t="n">
        <f aca="false">B23/(1-B12)-B23/(1-B11)</f>
        <v>3.08771929824561</v>
      </c>
      <c r="C17" s="14" t="n">
        <f aca="false">C23/(1-C12)-C23/(1-C11)</f>
        <v>8.28947368421053</v>
      </c>
      <c r="D17" s="14" t="n">
        <f aca="false">D23/(1-D12)-D23/(1-D11)</f>
        <v>8.59649122807018</v>
      </c>
      <c r="E17" s="8" t="s">
        <v>32</v>
      </c>
      <c r="F17" s="8"/>
      <c r="G17" s="8"/>
      <c r="H17" s="9" t="s">
        <v>41</v>
      </c>
    </row>
    <row r="18" customFormat="false" ht="30" hidden="false" customHeight="true" outlineLevel="0" collapsed="false">
      <c r="A18" s="6" t="s">
        <v>42</v>
      </c>
      <c r="B18" s="14" t="n">
        <f aca="false">B23-B14</f>
        <v>1</v>
      </c>
      <c r="C18" s="14" t="n">
        <f aca="false">C23-C14</f>
        <v>2.5</v>
      </c>
      <c r="D18" s="14" t="n">
        <f aca="false">D23-D14</f>
        <v>2</v>
      </c>
      <c r="E18" s="8" t="s">
        <v>32</v>
      </c>
      <c r="F18" s="8"/>
      <c r="G18" s="8"/>
      <c r="H18" s="9" t="s">
        <v>43</v>
      </c>
    </row>
    <row r="19" customFormat="false" ht="31.5" hidden="false" customHeight="true" outlineLevel="0" collapsed="false">
      <c r="A19" s="15" t="s">
        <v>44</v>
      </c>
      <c r="B19" s="16" t="s">
        <v>45</v>
      </c>
      <c r="C19" s="16"/>
      <c r="D19" s="16"/>
      <c r="E19" s="16"/>
      <c r="F19" s="16"/>
      <c r="G19" s="16"/>
      <c r="H19" s="16"/>
    </row>
    <row r="21" customFormat="false" ht="15" hidden="false" customHeight="false" outlineLevel="0" collapsed="false">
      <c r="A21" s="3" t="s">
        <v>46</v>
      </c>
      <c r="B21" s="4"/>
      <c r="C21" s="4"/>
      <c r="D21" s="4"/>
      <c r="E21" s="4"/>
      <c r="F21" s="4"/>
      <c r="G21" s="4"/>
      <c r="H21" s="4"/>
    </row>
    <row r="22" customFormat="false" ht="30" hidden="false" customHeight="true" outlineLevel="0" collapsed="false">
      <c r="A22" s="5" t="s">
        <v>47</v>
      </c>
      <c r="B22" s="5" t="s">
        <v>4</v>
      </c>
      <c r="C22" s="5" t="s">
        <v>5</v>
      </c>
      <c r="D22" s="5" t="s">
        <v>6</v>
      </c>
      <c r="E22" s="5" t="s">
        <v>7</v>
      </c>
      <c r="F22" s="5" t="s">
        <v>48</v>
      </c>
      <c r="G22" s="5" t="s">
        <v>49</v>
      </c>
      <c r="H22" s="5" t="s">
        <v>8</v>
      </c>
    </row>
    <row r="23" customFormat="false" ht="30" hidden="false" customHeight="true" outlineLevel="0" collapsed="false">
      <c r="A23" s="6" t="s">
        <v>50</v>
      </c>
      <c r="B23" s="13" t="n">
        <v>11</v>
      </c>
      <c r="C23" s="13" t="n">
        <v>13.5</v>
      </c>
      <c r="D23" s="13" t="n">
        <v>14</v>
      </c>
      <c r="E23" s="8" t="s">
        <v>32</v>
      </c>
      <c r="F23" s="14" t="n">
        <f aca="false">C23</f>
        <v>13.5</v>
      </c>
      <c r="G23" s="17" t="n">
        <f aca="false">F23*$C$7*1000</f>
        <v>162000</v>
      </c>
      <c r="H23" s="9" t="s">
        <v>51</v>
      </c>
    </row>
    <row r="24" customFormat="false" ht="30" hidden="false" customHeight="true" outlineLevel="0" collapsed="false">
      <c r="A24" s="6" t="s">
        <v>52</v>
      </c>
      <c r="B24" s="14" t="n">
        <f aca="false">B23*B11/(1-B11)</f>
        <v>0.578947368421053</v>
      </c>
      <c r="C24" s="14" t="n">
        <f aca="false">C23*C11/(1-C11)</f>
        <v>0.710526315789474</v>
      </c>
      <c r="D24" s="14" t="n">
        <f aca="false">D23*D11/(1-D11)</f>
        <v>0.736842105263158</v>
      </c>
      <c r="E24" s="8" t="s">
        <v>32</v>
      </c>
      <c r="F24" s="14" t="n">
        <f aca="false">C24</f>
        <v>0.710526315789474</v>
      </c>
      <c r="G24" s="17" t="n">
        <f aca="false">F24*$C$7*1000</f>
        <v>8526.31578947369</v>
      </c>
      <c r="H24" s="9" t="s">
        <v>53</v>
      </c>
    </row>
    <row r="25" customFormat="false" ht="30" hidden="false" customHeight="true" outlineLevel="0" collapsed="false">
      <c r="A25" s="6" t="s">
        <v>54</v>
      </c>
      <c r="B25" s="13" t="n">
        <v>0.8</v>
      </c>
      <c r="C25" s="13" t="n">
        <v>1</v>
      </c>
      <c r="D25" s="13" t="n">
        <v>1</v>
      </c>
      <c r="E25" s="8" t="s">
        <v>32</v>
      </c>
      <c r="F25" s="14" t="n">
        <f aca="false">C25</f>
        <v>1</v>
      </c>
      <c r="G25" s="17" t="n">
        <f aca="false">F25*$C$7*1000</f>
        <v>12000</v>
      </c>
      <c r="H25" s="9" t="s">
        <v>55</v>
      </c>
    </row>
    <row r="26" customFormat="false" ht="30" hidden="false" customHeight="true" outlineLevel="0" collapsed="false">
      <c r="A26" s="6" t="s">
        <v>56</v>
      </c>
      <c r="B26" s="13" t="n">
        <v>0.3</v>
      </c>
      <c r="C26" s="13" t="n">
        <v>0.5</v>
      </c>
      <c r="D26" s="13" t="n">
        <v>0.75</v>
      </c>
      <c r="E26" s="8" t="s">
        <v>32</v>
      </c>
      <c r="F26" s="14" t="n">
        <f aca="false">C26</f>
        <v>0.5</v>
      </c>
      <c r="G26" s="17" t="n">
        <f aca="false">F26*$C$7*1000</f>
        <v>6000</v>
      </c>
      <c r="H26" s="9" t="s">
        <v>57</v>
      </c>
    </row>
    <row r="27" customFormat="false" ht="30" hidden="false" customHeight="true" outlineLevel="0" collapsed="false">
      <c r="A27" s="6" t="s">
        <v>58</v>
      </c>
      <c r="B27" s="14" t="n">
        <f aca="false">B15*B16/(B8*1000)</f>
        <v>0.284722222222222</v>
      </c>
      <c r="C27" s="14" t="n">
        <f aca="false">C15*C16/(C8*1000)</f>
        <v>0.355902777777778</v>
      </c>
      <c r="D27" s="14" t="n">
        <f aca="false">D15*D16/(D8*1000)</f>
        <v>0.427083333333333</v>
      </c>
      <c r="E27" s="8" t="s">
        <v>32</v>
      </c>
      <c r="F27" s="14" t="n">
        <f aca="false">C27</f>
        <v>0.355902777777778</v>
      </c>
      <c r="G27" s="17" t="n">
        <f aca="false">F27*$C$7*1000</f>
        <v>4270.83333333333</v>
      </c>
      <c r="H27" s="9" t="s">
        <v>59</v>
      </c>
    </row>
    <row r="28" customFormat="false" ht="30" hidden="false" customHeight="true" outlineLevel="0" collapsed="false">
      <c r="A28" s="6" t="s">
        <v>60</v>
      </c>
      <c r="B28" s="13" t="n">
        <v>0.3</v>
      </c>
      <c r="C28" s="13" t="n">
        <v>0.4</v>
      </c>
      <c r="D28" s="13" t="n">
        <v>0.5</v>
      </c>
      <c r="E28" s="8" t="s">
        <v>32</v>
      </c>
      <c r="F28" s="14" t="n">
        <f aca="false">C28</f>
        <v>0.4</v>
      </c>
      <c r="G28" s="17" t="n">
        <f aca="false">F28*$C$7*1000</f>
        <v>4800</v>
      </c>
      <c r="H28" s="9" t="s">
        <v>61</v>
      </c>
    </row>
    <row r="29" customFormat="false" ht="30" hidden="false" customHeight="true" outlineLevel="0" collapsed="false">
      <c r="A29" s="6" t="s">
        <v>62</v>
      </c>
      <c r="B29" s="13" t="n">
        <v>1</v>
      </c>
      <c r="C29" s="13" t="n">
        <v>5.15</v>
      </c>
      <c r="D29" s="13" t="n">
        <v>7.5</v>
      </c>
      <c r="E29" s="8" t="s">
        <v>32</v>
      </c>
      <c r="F29" s="14" t="n">
        <f aca="false">C29</f>
        <v>5.15</v>
      </c>
      <c r="G29" s="17" t="n">
        <f aca="false">F29*$C$7*1000</f>
        <v>61800</v>
      </c>
      <c r="H29" s="9" t="s">
        <v>63</v>
      </c>
    </row>
    <row r="30" customFormat="false" ht="30" hidden="false" customHeight="true" outlineLevel="0" collapsed="false">
      <c r="A30" s="6" t="s">
        <v>64</v>
      </c>
      <c r="B30" s="13" t="n">
        <v>0.2</v>
      </c>
      <c r="C30" s="13" t="n">
        <v>0.26</v>
      </c>
      <c r="D30" s="13" t="n">
        <v>0.4</v>
      </c>
      <c r="E30" s="8" t="s">
        <v>32</v>
      </c>
      <c r="F30" s="14" t="n">
        <f aca="false">C30</f>
        <v>0.26</v>
      </c>
      <c r="G30" s="17" t="n">
        <f aca="false">F30*$C$7*1000</f>
        <v>3120</v>
      </c>
      <c r="H30" s="9" t="s">
        <v>65</v>
      </c>
    </row>
    <row r="31" customFormat="false" ht="30" hidden="false" customHeight="true" outlineLevel="0" collapsed="false">
      <c r="A31" s="6" t="s">
        <v>66</v>
      </c>
      <c r="B31" s="13" t="n">
        <v>0.08</v>
      </c>
      <c r="C31" s="13" t="n">
        <v>0.12</v>
      </c>
      <c r="D31" s="13" t="n">
        <v>0.15</v>
      </c>
      <c r="E31" s="8" t="s">
        <v>32</v>
      </c>
      <c r="F31" s="14" t="n">
        <f aca="false">C31</f>
        <v>0.12</v>
      </c>
      <c r="G31" s="17" t="n">
        <f aca="false">F31*$C$7*1000</f>
        <v>1440</v>
      </c>
      <c r="H31" s="9" t="s">
        <v>67</v>
      </c>
    </row>
    <row r="32" customFormat="false" ht="30" hidden="false" customHeight="true" outlineLevel="0" collapsed="false">
      <c r="A32" s="6" t="s">
        <v>68</v>
      </c>
      <c r="B32" s="13" t="n">
        <v>1.33</v>
      </c>
      <c r="C32" s="13" t="n">
        <v>2.92</v>
      </c>
      <c r="D32" s="13" t="n">
        <v>6.67</v>
      </c>
      <c r="E32" s="8" t="s">
        <v>32</v>
      </c>
      <c r="F32" s="14" t="n">
        <f aca="false">C32</f>
        <v>2.92</v>
      </c>
      <c r="G32" s="17" t="n">
        <f aca="false">F32*$C$7*1000</f>
        <v>35040</v>
      </c>
      <c r="H32" s="9" t="s">
        <v>69</v>
      </c>
    </row>
    <row r="33" customFormat="false" ht="15" hidden="false" customHeight="false" outlineLevel="0" collapsed="false">
      <c r="A33" s="15" t="s">
        <v>70</v>
      </c>
      <c r="B33" s="18" t="n">
        <f aca="false">SUM(B23:B32)</f>
        <v>15.8736695906433</v>
      </c>
      <c r="C33" s="18" t="n">
        <f aca="false">SUM(C23:C32)</f>
        <v>24.9164290935673</v>
      </c>
      <c r="D33" s="18" t="n">
        <f aca="false">SUM(D23:D32)</f>
        <v>32.1339254385965</v>
      </c>
      <c r="E33" s="8" t="s">
        <v>32</v>
      </c>
      <c r="F33" s="18" t="n">
        <f aca="false">C33</f>
        <v>24.9164290935673</v>
      </c>
      <c r="G33" s="19" t="n">
        <f aca="false">F33*$C$7*1000</f>
        <v>298997.149122807</v>
      </c>
      <c r="H33" s="8"/>
    </row>
    <row r="34" customFormat="false" ht="15" hidden="false" customHeight="false" outlineLevel="0" collapsed="false">
      <c r="A34" s="6" t="s">
        <v>71</v>
      </c>
      <c r="B34" s="11" t="n">
        <v>0.02</v>
      </c>
      <c r="C34" s="11" t="n">
        <v>0.04</v>
      </c>
      <c r="D34" s="11" t="n">
        <v>0.06</v>
      </c>
      <c r="E34" s="8" t="s">
        <v>72</v>
      </c>
      <c r="F34" s="8"/>
      <c r="G34" s="8"/>
      <c r="H34" s="9" t="s">
        <v>73</v>
      </c>
    </row>
    <row r="36" customFormat="false" ht="15" hidden="false" customHeight="false" outlineLevel="0" collapsed="false">
      <c r="A36" s="3" t="s">
        <v>74</v>
      </c>
      <c r="B36" s="4"/>
      <c r="C36" s="4"/>
      <c r="D36" s="4"/>
      <c r="E36" s="4"/>
      <c r="F36" s="4"/>
      <c r="G36" s="4"/>
      <c r="H36" s="4"/>
    </row>
    <row r="37" customFormat="false" ht="30" hidden="false" customHeight="true" outlineLevel="0" collapsed="false">
      <c r="A37" s="5" t="s">
        <v>47</v>
      </c>
      <c r="B37" s="5" t="s">
        <v>4</v>
      </c>
      <c r="C37" s="5" t="s">
        <v>5</v>
      </c>
      <c r="D37" s="5" t="s">
        <v>6</v>
      </c>
      <c r="E37" s="5" t="s">
        <v>7</v>
      </c>
      <c r="F37" s="5" t="s">
        <v>48</v>
      </c>
      <c r="G37" s="5" t="s">
        <v>49</v>
      </c>
      <c r="H37" s="5" t="s">
        <v>8</v>
      </c>
    </row>
    <row r="38" customFormat="false" ht="30" hidden="false" customHeight="true" outlineLevel="0" collapsed="false">
      <c r="A38" s="6" t="s">
        <v>75</v>
      </c>
      <c r="B38" s="20" t="n">
        <v>18</v>
      </c>
      <c r="C38" s="20" t="n">
        <v>24</v>
      </c>
      <c r="D38" s="20" t="n">
        <v>30</v>
      </c>
      <c r="E38" s="8" t="s">
        <v>76</v>
      </c>
      <c r="F38" s="14" t="n">
        <f aca="false">C38*100000/($C$10*1000)</f>
        <v>0.222222222222222</v>
      </c>
      <c r="G38" s="17" t="n">
        <f aca="false">F38*$C$7*1000</f>
        <v>2666.66666666667</v>
      </c>
      <c r="H38" s="9" t="s">
        <v>77</v>
      </c>
    </row>
    <row r="39" customFormat="false" ht="30" hidden="false" customHeight="true" outlineLevel="0" collapsed="false">
      <c r="A39" s="6" t="s">
        <v>78</v>
      </c>
      <c r="B39" s="20" t="n">
        <v>8</v>
      </c>
      <c r="C39" s="20" t="n">
        <v>12</v>
      </c>
      <c r="D39" s="20" t="n">
        <v>15</v>
      </c>
      <c r="E39" s="8" t="s">
        <v>76</v>
      </c>
      <c r="F39" s="14" t="n">
        <f aca="false">C39*100000/($C$10*1000)</f>
        <v>0.111111111111111</v>
      </c>
      <c r="G39" s="17" t="n">
        <f aca="false">F39*$C$7*1000</f>
        <v>1333.33333333333</v>
      </c>
      <c r="H39" s="9" t="s">
        <v>79</v>
      </c>
    </row>
    <row r="40" customFormat="false" ht="30" hidden="false" customHeight="true" outlineLevel="0" collapsed="false">
      <c r="A40" s="6" t="s">
        <v>80</v>
      </c>
      <c r="B40" s="20" t="n">
        <v>1</v>
      </c>
      <c r="C40" s="20" t="n">
        <v>2</v>
      </c>
      <c r="D40" s="20" t="n">
        <v>3.5</v>
      </c>
      <c r="E40" s="8" t="s">
        <v>76</v>
      </c>
      <c r="F40" s="14" t="n">
        <f aca="false">C40*100000/($C$10*1000)</f>
        <v>0.0185185185185185</v>
      </c>
      <c r="G40" s="17" t="n">
        <f aca="false">F40*$C$7*1000</f>
        <v>222.222222222222</v>
      </c>
      <c r="H40" s="9" t="s">
        <v>81</v>
      </c>
    </row>
    <row r="41" customFormat="false" ht="30" hidden="false" customHeight="true" outlineLevel="0" collapsed="false">
      <c r="A41" s="6" t="s">
        <v>82</v>
      </c>
      <c r="B41" s="20" t="n">
        <v>4</v>
      </c>
      <c r="C41" s="20" t="n">
        <v>6</v>
      </c>
      <c r="D41" s="20" t="n">
        <v>8</v>
      </c>
      <c r="E41" s="8" t="s">
        <v>76</v>
      </c>
      <c r="F41" s="14" t="n">
        <f aca="false">C41*100000/($C$10*1000)</f>
        <v>0.0555555555555556</v>
      </c>
      <c r="G41" s="17" t="n">
        <f aca="false">F41*$C$7*1000</f>
        <v>666.666666666667</v>
      </c>
      <c r="H41" s="9" t="s">
        <v>83</v>
      </c>
    </row>
    <row r="42" customFormat="false" ht="30" hidden="false" customHeight="true" outlineLevel="0" collapsed="false">
      <c r="A42" s="6" t="s">
        <v>84</v>
      </c>
      <c r="B42" s="20" t="n">
        <v>0</v>
      </c>
      <c r="C42" s="20" t="n">
        <v>2</v>
      </c>
      <c r="D42" s="20" t="n">
        <v>3</v>
      </c>
      <c r="E42" s="8" t="s">
        <v>76</v>
      </c>
      <c r="F42" s="14" t="n">
        <f aca="false">C42*100000/($C$10*1000)</f>
        <v>0.0185185185185185</v>
      </c>
      <c r="G42" s="17" t="n">
        <f aca="false">F42*$C$7*1000</f>
        <v>222.222222222222</v>
      </c>
      <c r="H42" s="9" t="s">
        <v>85</v>
      </c>
    </row>
    <row r="43" customFormat="false" ht="30" hidden="false" customHeight="true" outlineLevel="0" collapsed="false">
      <c r="A43" s="6" t="s">
        <v>86</v>
      </c>
      <c r="B43" s="12" t="n">
        <f aca="false">B63/B73</f>
        <v>13.3</v>
      </c>
      <c r="C43" s="12" t="n">
        <f aca="false">C63/C73</f>
        <v>21.1365</v>
      </c>
      <c r="D43" s="12" t="n">
        <f aca="false">D63/D73</f>
        <v>33.99375</v>
      </c>
      <c r="E43" s="8" t="s">
        <v>76</v>
      </c>
      <c r="F43" s="14" t="n">
        <f aca="false">C43*100000/($C$10*1000)</f>
        <v>0.195708333333333</v>
      </c>
      <c r="G43" s="17" t="n">
        <f aca="false">F43*$C$7*1000</f>
        <v>2348.5</v>
      </c>
      <c r="H43" s="9" t="s">
        <v>87</v>
      </c>
    </row>
    <row r="44" customFormat="false" ht="30" hidden="false" customHeight="true" outlineLevel="0" collapsed="false">
      <c r="A44" s="6" t="s">
        <v>88</v>
      </c>
      <c r="B44" s="12" t="n">
        <f aca="false">B65*B70*B71+B68*B72</f>
        <v>9.77481473684211</v>
      </c>
      <c r="C44" s="12" t="n">
        <f aca="false">C65*C70*C71+C68*C72</f>
        <v>26.787309868421</v>
      </c>
      <c r="D44" s="12" t="n">
        <f aca="false">D65*D70*D71+D68*D72</f>
        <v>60.668237368421</v>
      </c>
      <c r="E44" s="8" t="s">
        <v>76</v>
      </c>
      <c r="F44" s="14" t="n">
        <f aca="false">C44*100000/($C$10*1000)</f>
        <v>0.248030646929825</v>
      </c>
      <c r="G44" s="17" t="n">
        <f aca="false">F44*$C$7*1000</f>
        <v>2976.36776315789</v>
      </c>
      <c r="H44" s="9" t="s">
        <v>89</v>
      </c>
    </row>
    <row r="45" customFormat="false" ht="15" hidden="false" customHeight="false" outlineLevel="0" collapsed="false">
      <c r="A45" s="15" t="s">
        <v>90</v>
      </c>
      <c r="B45" s="21" t="n">
        <f aca="false">SUM(B38:B44)</f>
        <v>54.0748147368421</v>
      </c>
      <c r="C45" s="21" t="n">
        <f aca="false">SUM(C38:C44)</f>
        <v>93.9238098684211</v>
      </c>
      <c r="D45" s="21" t="n">
        <f aca="false">SUM(D38:D44)</f>
        <v>154.161987368421</v>
      </c>
      <c r="E45" s="8" t="s">
        <v>76</v>
      </c>
      <c r="F45" s="18" t="n">
        <f aca="false">C45*100000/($C$10*1000)</f>
        <v>0.869664906189084</v>
      </c>
      <c r="G45" s="19" t="n">
        <f aca="false">F45*$C$7*1000</f>
        <v>10435.978874269</v>
      </c>
      <c r="H45" s="9" t="s">
        <v>91</v>
      </c>
    </row>
    <row r="46" customFormat="false" ht="15" hidden="false" customHeight="false" outlineLevel="0" collapsed="false">
      <c r="A46" s="15" t="s">
        <v>92</v>
      </c>
      <c r="B46" s="22" t="n">
        <f aca="false">B45*100000/(B10*1000)</f>
        <v>0.55632525449426</v>
      </c>
      <c r="C46" s="22" t="n">
        <f aca="false">C45*100000/(C10*1000)</f>
        <v>0.869664906189084</v>
      </c>
      <c r="D46" s="22" t="n">
        <f aca="false">D45*100000/(D10*1000)</f>
        <v>1.29765982633351</v>
      </c>
      <c r="E46" s="8" t="s">
        <v>32</v>
      </c>
      <c r="F46" s="8"/>
      <c r="G46" s="8"/>
      <c r="H46" s="9" t="s">
        <v>93</v>
      </c>
    </row>
    <row r="48" customFormat="false" ht="15" hidden="false" customHeight="false" outlineLevel="0" collapsed="false">
      <c r="A48" s="3" t="s">
        <v>94</v>
      </c>
      <c r="B48" s="4"/>
      <c r="C48" s="4"/>
      <c r="D48" s="4"/>
      <c r="E48" s="4"/>
      <c r="F48" s="4"/>
      <c r="G48" s="4"/>
      <c r="H48" s="4"/>
    </row>
    <row r="49" customFormat="false" ht="15" hidden="false" customHeight="false" outlineLevel="0" collapsed="false">
      <c r="A49" s="15" t="s">
        <v>95</v>
      </c>
      <c r="B49" s="18" t="n">
        <f aca="false">B33+B46</f>
        <v>16.4299948451375</v>
      </c>
      <c r="C49" s="18" t="n">
        <f aca="false">C33+C46</f>
        <v>25.7860939997563</v>
      </c>
      <c r="D49" s="18" t="n">
        <f aca="false">D33+D46</f>
        <v>33.43158526493</v>
      </c>
      <c r="E49" s="8" t="s">
        <v>32</v>
      </c>
      <c r="F49" s="18" t="n">
        <f aca="false">C49</f>
        <v>25.7860939997563</v>
      </c>
      <c r="G49" s="19" t="n">
        <f aca="false">F49*$C$7*1000</f>
        <v>309433.127997076</v>
      </c>
      <c r="H49" s="9" t="s">
        <v>96</v>
      </c>
    </row>
    <row r="51" customFormat="false" ht="15" hidden="false" customHeight="false" outlineLevel="0" collapsed="false">
      <c r="A51" s="3" t="s">
        <v>97</v>
      </c>
      <c r="B51" s="4"/>
      <c r="C51" s="4"/>
      <c r="D51" s="4"/>
      <c r="E51" s="4"/>
      <c r="F51" s="4"/>
      <c r="G51" s="4"/>
      <c r="H51" s="4"/>
    </row>
    <row r="52" customFormat="false" ht="30" hidden="false" customHeight="true" outlineLevel="0" collapsed="false">
      <c r="A52" s="5" t="s">
        <v>98</v>
      </c>
      <c r="B52" s="5" t="s">
        <v>4</v>
      </c>
      <c r="C52" s="5" t="s">
        <v>5</v>
      </c>
      <c r="D52" s="5" t="s">
        <v>6</v>
      </c>
      <c r="E52" s="5" t="s">
        <v>7</v>
      </c>
      <c r="F52" s="5"/>
      <c r="G52" s="5"/>
      <c r="H52" s="5" t="s">
        <v>8</v>
      </c>
    </row>
    <row r="53" customFormat="false" ht="30" hidden="false" customHeight="true" outlineLevel="0" collapsed="false">
      <c r="A53" s="6" t="s">
        <v>99</v>
      </c>
      <c r="B53" s="20" t="n">
        <v>60</v>
      </c>
      <c r="C53" s="20" t="n">
        <v>75</v>
      </c>
      <c r="D53" s="20" t="n">
        <v>90</v>
      </c>
      <c r="E53" s="8" t="s">
        <v>100</v>
      </c>
      <c r="F53" s="8"/>
      <c r="G53" s="8"/>
      <c r="H53" s="9" t="s">
        <v>101</v>
      </c>
    </row>
    <row r="54" customFormat="false" ht="30" hidden="false" customHeight="true" outlineLevel="0" collapsed="false">
      <c r="A54" s="6" t="s">
        <v>102</v>
      </c>
      <c r="B54" s="20" t="n">
        <v>50</v>
      </c>
      <c r="C54" s="20" t="n">
        <v>60</v>
      </c>
      <c r="D54" s="20" t="n">
        <v>90</v>
      </c>
      <c r="E54" s="8" t="s">
        <v>100</v>
      </c>
      <c r="F54" s="8"/>
      <c r="G54" s="8"/>
      <c r="H54" s="9" t="s">
        <v>103</v>
      </c>
    </row>
    <row r="55" customFormat="false" ht="30" hidden="false" customHeight="true" outlineLevel="0" collapsed="false">
      <c r="A55" s="6" t="s">
        <v>104</v>
      </c>
      <c r="B55" s="20" t="n">
        <v>6</v>
      </c>
      <c r="C55" s="20" t="n">
        <v>8.8</v>
      </c>
      <c r="D55" s="20" t="n">
        <v>12</v>
      </c>
      <c r="E55" s="8" t="s">
        <v>100</v>
      </c>
      <c r="F55" s="8"/>
      <c r="G55" s="8"/>
      <c r="H55" s="9" t="s">
        <v>105</v>
      </c>
    </row>
    <row r="56" customFormat="false" ht="30" hidden="false" customHeight="true" outlineLevel="0" collapsed="false">
      <c r="A56" s="6" t="s">
        <v>106</v>
      </c>
      <c r="B56" s="20" t="n">
        <v>8</v>
      </c>
      <c r="C56" s="20" t="n">
        <v>12</v>
      </c>
      <c r="D56" s="20" t="n">
        <v>14</v>
      </c>
      <c r="E56" s="8" t="s">
        <v>100</v>
      </c>
      <c r="F56" s="8"/>
      <c r="G56" s="8"/>
      <c r="H56" s="9" t="s">
        <v>107</v>
      </c>
    </row>
    <row r="57" customFormat="false" ht="30" hidden="false" customHeight="true" outlineLevel="0" collapsed="false">
      <c r="A57" s="6" t="s">
        <v>108</v>
      </c>
      <c r="B57" s="20" t="n">
        <v>6</v>
      </c>
      <c r="C57" s="20" t="n">
        <v>10</v>
      </c>
      <c r="D57" s="20" t="n">
        <v>12</v>
      </c>
      <c r="E57" s="8" t="s">
        <v>100</v>
      </c>
      <c r="F57" s="8"/>
      <c r="G57" s="8"/>
      <c r="H57" s="9"/>
    </row>
    <row r="58" customFormat="false" ht="30" hidden="false" customHeight="true" outlineLevel="0" collapsed="false">
      <c r="A58" s="6" t="s">
        <v>109</v>
      </c>
      <c r="B58" s="20" t="n">
        <v>5</v>
      </c>
      <c r="C58" s="20" t="n">
        <v>8</v>
      </c>
      <c r="D58" s="20" t="n">
        <v>8</v>
      </c>
      <c r="E58" s="8" t="s">
        <v>100</v>
      </c>
      <c r="F58" s="8"/>
      <c r="G58" s="8"/>
      <c r="H58" s="9" t="s">
        <v>110</v>
      </c>
    </row>
    <row r="59" customFormat="false" ht="30" hidden="false" customHeight="true" outlineLevel="0" collapsed="false">
      <c r="A59" s="6" t="s">
        <v>111</v>
      </c>
      <c r="B59" s="20" t="n">
        <v>7</v>
      </c>
      <c r="C59" s="20" t="n">
        <v>10.5</v>
      </c>
      <c r="D59" s="20" t="n">
        <v>12</v>
      </c>
      <c r="E59" s="8" t="s">
        <v>100</v>
      </c>
      <c r="F59" s="8"/>
      <c r="G59" s="8"/>
      <c r="H59" s="9"/>
    </row>
    <row r="60" customFormat="false" ht="30" hidden="false" customHeight="true" outlineLevel="0" collapsed="false">
      <c r="A60" s="6" t="s">
        <v>112</v>
      </c>
      <c r="B60" s="20" t="n">
        <v>5</v>
      </c>
      <c r="C60" s="20" t="n">
        <v>7</v>
      </c>
      <c r="D60" s="20" t="n">
        <v>9</v>
      </c>
      <c r="E60" s="8" t="s">
        <v>100</v>
      </c>
      <c r="F60" s="8"/>
      <c r="G60" s="8"/>
      <c r="H60" s="9"/>
    </row>
    <row r="61" customFormat="false" ht="30" hidden="false" customHeight="true" outlineLevel="0" collapsed="false">
      <c r="A61" s="6" t="s">
        <v>113</v>
      </c>
      <c r="B61" s="20" t="n">
        <v>5</v>
      </c>
      <c r="C61" s="20" t="n">
        <v>10</v>
      </c>
      <c r="D61" s="20" t="n">
        <v>12</v>
      </c>
      <c r="E61" s="8" t="s">
        <v>100</v>
      </c>
      <c r="F61" s="8"/>
      <c r="G61" s="8"/>
      <c r="H61" s="9"/>
    </row>
    <row r="62" customFormat="false" ht="30" hidden="false" customHeight="true" outlineLevel="0" collapsed="false">
      <c r="A62" s="6" t="s">
        <v>114</v>
      </c>
      <c r="B62" s="12" t="n">
        <f aca="false">SUM(B53:B61)*5%</f>
        <v>7.6</v>
      </c>
      <c r="C62" s="12" t="n">
        <f aca="false">SUM(C53:C61)*5%</f>
        <v>10.065</v>
      </c>
      <c r="D62" s="12" t="n">
        <f aca="false">SUM(D53:D61)*5%</f>
        <v>12.95</v>
      </c>
      <c r="E62" s="8" t="s">
        <v>100</v>
      </c>
      <c r="F62" s="8"/>
      <c r="G62" s="8"/>
      <c r="H62" s="9" t="s">
        <v>115</v>
      </c>
    </row>
    <row r="63" customFormat="false" ht="30" hidden="false" customHeight="true" outlineLevel="0" collapsed="false">
      <c r="A63" s="6" t="s">
        <v>116</v>
      </c>
      <c r="B63" s="23" t="n">
        <f aca="false">SUM(B53:B62)</f>
        <v>159.6</v>
      </c>
      <c r="C63" s="23" t="n">
        <f aca="false">SUM(C53:C62)</f>
        <v>211.365</v>
      </c>
      <c r="D63" s="23" t="n">
        <f aca="false">SUM(D53:D62)</f>
        <v>271.95</v>
      </c>
      <c r="E63" s="8" t="s">
        <v>100</v>
      </c>
      <c r="F63" s="8"/>
      <c r="G63" s="8"/>
      <c r="H63" s="9"/>
    </row>
    <row r="64" customFormat="false" ht="30" hidden="false" customHeight="true" outlineLevel="0" collapsed="false">
      <c r="A64" s="6" t="s">
        <v>117</v>
      </c>
      <c r="B64" s="12" t="n">
        <f aca="false">-35%*(MIN(B53,50)+MIN(B54,50)+MIN(B55,3.2))</f>
        <v>-36.12</v>
      </c>
      <c r="C64" s="12" t="n">
        <f aca="false">-35%*(MIN(C53,50)+MIN(C54,50)+MIN(C55,3.2))</f>
        <v>-36.12</v>
      </c>
      <c r="D64" s="12" t="n">
        <f aca="false">-35%*(MIN(D53,50)+MIN(D54,50)+MIN(D55,3.2))</f>
        <v>-36.12</v>
      </c>
      <c r="E64" s="8" t="s">
        <v>100</v>
      </c>
      <c r="F64" s="8"/>
      <c r="G64" s="8"/>
      <c r="H64" s="9" t="s">
        <v>118</v>
      </c>
    </row>
    <row r="65" customFormat="false" ht="30" hidden="false" customHeight="true" outlineLevel="0" collapsed="false">
      <c r="A65" s="6" t="s">
        <v>119</v>
      </c>
      <c r="B65" s="12" t="n">
        <f aca="false">B63+B64</f>
        <v>123.48</v>
      </c>
      <c r="C65" s="12" t="n">
        <f aca="false">C63+C64</f>
        <v>175.245</v>
      </c>
      <c r="D65" s="12" t="n">
        <f aca="false">D63+D64</f>
        <v>235.83</v>
      </c>
      <c r="E65" s="8" t="s">
        <v>100</v>
      </c>
      <c r="F65" s="8"/>
      <c r="G65" s="8"/>
      <c r="H65" s="9"/>
    </row>
    <row r="66" customFormat="false" ht="30" hidden="false" customHeight="true" outlineLevel="0" collapsed="false">
      <c r="A66" s="6" t="s">
        <v>120</v>
      </c>
      <c r="B66" s="7" t="n">
        <v>7</v>
      </c>
      <c r="C66" s="7" t="n">
        <v>21</v>
      </c>
      <c r="D66" s="7" t="n">
        <v>45</v>
      </c>
      <c r="E66" s="8" t="s">
        <v>121</v>
      </c>
      <c r="F66" s="8"/>
      <c r="G66" s="8"/>
      <c r="H66" s="9" t="s">
        <v>122</v>
      </c>
    </row>
    <row r="67" customFormat="false" ht="30" hidden="false" customHeight="true" outlineLevel="0" collapsed="false">
      <c r="A67" s="6" t="s">
        <v>123</v>
      </c>
      <c r="B67" s="7" t="n">
        <v>7</v>
      </c>
      <c r="C67" s="7" t="n">
        <v>7</v>
      </c>
      <c r="D67" s="7" t="n">
        <v>7</v>
      </c>
      <c r="E67" s="8" t="s">
        <v>121</v>
      </c>
      <c r="F67" s="8"/>
      <c r="G67" s="8"/>
      <c r="H67" s="9" t="s">
        <v>124</v>
      </c>
    </row>
    <row r="68" customFormat="false" ht="30" hidden="false" customHeight="true" outlineLevel="0" collapsed="false">
      <c r="A68" s="6" t="s">
        <v>125</v>
      </c>
      <c r="B68" s="12" t="n">
        <f aca="false">(B66*B8*1000*$C$78-B67*B13*1000*B23)/100000</f>
        <v>41.3810526315789</v>
      </c>
      <c r="C68" s="12" t="n">
        <f aca="false">(C66*C8*1000*$C$78-C67*C13*1000*C23)/100000</f>
        <v>175.869473684211</v>
      </c>
      <c r="D68" s="12" t="n">
        <f aca="false">(D66*D8*1000*$C$78-D67*D13*1000*D23)/100000</f>
        <v>416.463157894737</v>
      </c>
      <c r="E68" s="8" t="s">
        <v>100</v>
      </c>
      <c r="F68" s="8"/>
      <c r="G68" s="8"/>
      <c r="H68" s="9" t="s">
        <v>126</v>
      </c>
    </row>
    <row r="69" customFormat="false" ht="30" hidden="false" customHeight="true" outlineLevel="0" collapsed="false">
      <c r="A69" s="6" t="s">
        <v>127</v>
      </c>
      <c r="B69" s="24" t="n">
        <f aca="false">B65+B68</f>
        <v>164.861052631579</v>
      </c>
      <c r="C69" s="24" t="n">
        <f aca="false">C65+C68</f>
        <v>351.114473684211</v>
      </c>
      <c r="D69" s="24" t="n">
        <f aca="false">D65+D68</f>
        <v>652.293157894737</v>
      </c>
      <c r="E69" s="8" t="s">
        <v>100</v>
      </c>
      <c r="F69" s="8"/>
      <c r="G69" s="8"/>
      <c r="H69" s="9" t="s">
        <v>128</v>
      </c>
    </row>
    <row r="70" customFormat="false" ht="30" hidden="false" customHeight="true" outlineLevel="0" collapsed="false">
      <c r="A70" s="6" t="s">
        <v>129</v>
      </c>
      <c r="B70" s="11" t="n">
        <v>0.7</v>
      </c>
      <c r="C70" s="11" t="n">
        <v>0.7</v>
      </c>
      <c r="D70" s="11" t="n">
        <v>0.7</v>
      </c>
      <c r="E70" s="8" t="s">
        <v>130</v>
      </c>
      <c r="F70" s="8"/>
      <c r="G70" s="8"/>
      <c r="H70" s="9" t="s">
        <v>131</v>
      </c>
    </row>
    <row r="71" customFormat="false" ht="30" hidden="false" customHeight="true" outlineLevel="0" collapsed="false">
      <c r="A71" s="6" t="s">
        <v>132</v>
      </c>
      <c r="B71" s="25" t="n">
        <v>0.07</v>
      </c>
      <c r="C71" s="25" t="n">
        <v>0.075</v>
      </c>
      <c r="D71" s="25" t="n">
        <v>0.09</v>
      </c>
      <c r="E71" s="8" t="s">
        <v>133</v>
      </c>
      <c r="F71" s="8"/>
      <c r="G71" s="8"/>
      <c r="H71" s="9" t="s">
        <v>134</v>
      </c>
    </row>
    <row r="72" customFormat="false" ht="30" hidden="false" customHeight="true" outlineLevel="0" collapsed="false">
      <c r="A72" s="6" t="s">
        <v>135</v>
      </c>
      <c r="B72" s="25" t="n">
        <v>0.09</v>
      </c>
      <c r="C72" s="25" t="n">
        <v>0.1</v>
      </c>
      <c r="D72" s="25" t="n">
        <v>0.11</v>
      </c>
      <c r="E72" s="8" t="s">
        <v>133</v>
      </c>
      <c r="F72" s="8"/>
      <c r="G72" s="8"/>
      <c r="H72" s="9" t="s">
        <v>136</v>
      </c>
    </row>
    <row r="73" customFormat="false" ht="30" hidden="false" customHeight="true" outlineLevel="0" collapsed="false">
      <c r="A73" s="6" t="s">
        <v>137</v>
      </c>
      <c r="B73" s="7" t="n">
        <v>12</v>
      </c>
      <c r="C73" s="7" t="n">
        <v>10</v>
      </c>
      <c r="D73" s="7" t="n">
        <v>8</v>
      </c>
      <c r="E73" s="8" t="s">
        <v>138</v>
      </c>
      <c r="F73" s="8"/>
      <c r="G73" s="8"/>
      <c r="H73" s="9" t="s">
        <v>139</v>
      </c>
    </row>
    <row r="75" customFormat="false" ht="15" hidden="false" customHeight="false" outlineLevel="0" collapsed="false">
      <c r="A75" s="3" t="s">
        <v>140</v>
      </c>
      <c r="B75" s="4"/>
      <c r="C75" s="4"/>
      <c r="D75" s="4"/>
      <c r="E75" s="4"/>
      <c r="F75" s="4"/>
      <c r="G75" s="4"/>
      <c r="H75" s="4"/>
    </row>
    <row r="76" customFormat="false" ht="30" hidden="false" customHeight="true" outlineLevel="0" collapsed="false">
      <c r="A76" s="5" t="s">
        <v>141</v>
      </c>
      <c r="B76" s="5" t="s">
        <v>142</v>
      </c>
      <c r="C76" s="5" t="s">
        <v>5</v>
      </c>
      <c r="D76" s="5" t="s">
        <v>143</v>
      </c>
      <c r="E76" s="5" t="s">
        <v>7</v>
      </c>
      <c r="F76" s="5"/>
      <c r="G76" s="5" t="s">
        <v>144</v>
      </c>
      <c r="H76" s="5" t="s">
        <v>8</v>
      </c>
    </row>
    <row r="77" customFormat="false" ht="30" hidden="false" customHeight="true" outlineLevel="0" collapsed="false">
      <c r="A77" s="6" t="s">
        <v>145</v>
      </c>
      <c r="B77" s="10" t="n">
        <f aca="false">B10</f>
        <v>9720</v>
      </c>
      <c r="C77" s="10" t="n">
        <f aca="false">C10</f>
        <v>10800</v>
      </c>
      <c r="D77" s="10" t="n">
        <f aca="false">D10</f>
        <v>11880</v>
      </c>
      <c r="E77" s="8" t="s">
        <v>146</v>
      </c>
      <c r="F77" s="8"/>
      <c r="G77" s="8"/>
      <c r="H77" s="9" t="s">
        <v>147</v>
      </c>
    </row>
    <row r="78" customFormat="false" ht="30" hidden="false" customHeight="true" outlineLevel="0" collapsed="false">
      <c r="A78" s="6" t="s">
        <v>148</v>
      </c>
      <c r="B78" s="13" t="n">
        <v>24</v>
      </c>
      <c r="C78" s="13" t="n">
        <v>28</v>
      </c>
      <c r="D78" s="13" t="n">
        <v>32</v>
      </c>
      <c r="E78" s="8" t="s">
        <v>32</v>
      </c>
      <c r="F78" s="8"/>
      <c r="G78" s="17" t="n">
        <f aca="false">C78*$C$7*1000</f>
        <v>336000</v>
      </c>
      <c r="H78" s="9" t="s">
        <v>149</v>
      </c>
    </row>
    <row r="79" customFormat="false" ht="30" hidden="false" customHeight="true" outlineLevel="0" collapsed="false">
      <c r="A79" s="6" t="s">
        <v>150</v>
      </c>
      <c r="B79" s="12" t="n">
        <f aca="false">$C$78*B10*1000/100000</f>
        <v>2721.6</v>
      </c>
      <c r="C79" s="12" t="n">
        <f aca="false">$C$78*C10*1000/100000</f>
        <v>3024</v>
      </c>
      <c r="D79" s="12" t="n">
        <f aca="false">$C$78*D10*1000/100000</f>
        <v>3326.4</v>
      </c>
      <c r="E79" s="8" t="s">
        <v>100</v>
      </c>
      <c r="F79" s="8"/>
      <c r="G79" s="8"/>
      <c r="H79" s="9" t="s">
        <v>151</v>
      </c>
    </row>
    <row r="80" customFormat="false" ht="30" hidden="false" customHeight="true" outlineLevel="0" collapsed="false">
      <c r="A80" s="6" t="s">
        <v>152</v>
      </c>
      <c r="B80" s="26" t="n">
        <f aca="false">B49/(1-B34)</f>
        <v>16.7653008623852</v>
      </c>
      <c r="C80" s="26" t="n">
        <f aca="false">C49/(1-C34)</f>
        <v>26.8605145830795</v>
      </c>
      <c r="D80" s="26" t="n">
        <f aca="false">D49/(1-D34)</f>
        <v>35.5655162392872</v>
      </c>
      <c r="E80" s="8" t="s">
        <v>32</v>
      </c>
      <c r="F80" s="8"/>
      <c r="G80" s="27" t="n">
        <f aca="false">C80*$C$7*1000</f>
        <v>322326.174996954</v>
      </c>
      <c r="H80" s="9" t="s">
        <v>153</v>
      </c>
    </row>
    <row r="81" customFormat="false" ht="15" hidden="false" customHeight="false" outlineLevel="0" collapsed="false">
      <c r="A81" s="15" t="s">
        <v>154</v>
      </c>
      <c r="B81" s="11" t="n">
        <v>0.1</v>
      </c>
      <c r="C81" s="11" t="n">
        <v>0.1</v>
      </c>
      <c r="D81" s="11" t="n">
        <v>0.1</v>
      </c>
      <c r="E81" s="8" t="s">
        <v>155</v>
      </c>
      <c r="F81" s="8"/>
      <c r="G81" s="8"/>
      <c r="H81" s="8" t="s">
        <v>156</v>
      </c>
    </row>
    <row r="82" customFormat="false" ht="30" hidden="false" customHeight="true" outlineLevel="0" collapsed="false">
      <c r="A82" s="6" t="s">
        <v>157</v>
      </c>
      <c r="B82" s="26" t="n">
        <f aca="false">B49/(1-B34-B81)</f>
        <v>18.6704486876563</v>
      </c>
      <c r="C82" s="26" t="n">
        <f aca="false">C49/(1-C34-C81)</f>
        <v>29.9838302322748</v>
      </c>
      <c r="D82" s="26" t="n">
        <f aca="false">D49/(1-D34-D81)</f>
        <v>39.7995062677738</v>
      </c>
      <c r="E82" s="8" t="s">
        <v>32</v>
      </c>
      <c r="F82" s="8"/>
      <c r="G82" s="27" t="n">
        <f aca="false">C82*$C$7*1000</f>
        <v>359805.962787298</v>
      </c>
      <c r="H82" s="9" t="s">
        <v>158</v>
      </c>
    </row>
    <row r="83" customFormat="false" ht="30" hidden="false" customHeight="true" outlineLevel="0" collapsed="false">
      <c r="A83" s="6" t="s">
        <v>159</v>
      </c>
      <c r="B83" s="22" t="n">
        <f aca="false">$C$78*(1-B34)-B49</f>
        <v>11.0100051548625</v>
      </c>
      <c r="C83" s="22" t="n">
        <f aca="false">$C$78*(1-C34)-C49</f>
        <v>1.09390600024366</v>
      </c>
      <c r="D83" s="22" t="n">
        <f aca="false">$C$78*(1-D34)-D49</f>
        <v>-7.11158526493</v>
      </c>
      <c r="E83" s="8" t="s">
        <v>32</v>
      </c>
      <c r="F83" s="8"/>
      <c r="G83" s="28" t="n">
        <f aca="false">C83*$C$7*1000</f>
        <v>13126.872002924</v>
      </c>
      <c r="H83" s="9" t="s">
        <v>160</v>
      </c>
    </row>
    <row r="84" customFormat="false" ht="30" hidden="false" customHeight="true" outlineLevel="0" collapsed="false">
      <c r="A84" s="6" t="s">
        <v>161</v>
      </c>
      <c r="B84" s="29" t="n">
        <f aca="false">B83*B10*1000/100000</f>
        <v>1070.17250105263</v>
      </c>
      <c r="C84" s="29" t="n">
        <f aca="false">C83*C10*1000/100000</f>
        <v>118.141848026316</v>
      </c>
      <c r="D84" s="29" t="n">
        <f aca="false">D83*D10*1000/100000</f>
        <v>-844.856329473684</v>
      </c>
      <c r="E84" s="8" t="s">
        <v>100</v>
      </c>
      <c r="F84" s="8"/>
      <c r="G84" s="30"/>
      <c r="H84" s="9" t="s">
        <v>162</v>
      </c>
    </row>
    <row r="85" customFormat="false" ht="30" hidden="false" customHeight="true" outlineLevel="0" collapsed="false">
      <c r="A85" s="6" t="s">
        <v>163</v>
      </c>
      <c r="B85" s="12" t="n">
        <f aca="false">IF(B84+B43&lt;=0,"Not recovered",B69/(B84+B43))</f>
        <v>0.152159886357439</v>
      </c>
      <c r="C85" s="12" t="n">
        <f aca="false">IF(C84+C43&lt;=0,"Not recovered",C69/(C84+C43))</f>
        <v>2.52095518549567</v>
      </c>
      <c r="D85" s="12" t="str">
        <f aca="false">IF(D84+D43&lt;=0,"Not recovered",D69/(D84+D43))</f>
        <v>Not recovered</v>
      </c>
      <c r="E85" s="8" t="s">
        <v>138</v>
      </c>
      <c r="F85" s="8"/>
      <c r="G85" s="8"/>
      <c r="H85" s="9" t="s">
        <v>164</v>
      </c>
    </row>
    <row r="86" customFormat="false" ht="36" hidden="false" customHeight="true" outlineLevel="0" collapsed="false">
      <c r="A86" s="15" t="s">
        <v>165</v>
      </c>
      <c r="B86" s="16" t="str">
        <f aca="false">"We put in ₹"&amp;TEXT(C69,"#,##0")&amp;" L and sell "&amp;TEXT(C77,"#,##0")&amp;" t a year. Break-even is ₹"&amp;TEXT(C80,"0.00")&amp;"/kg and ₹"&amp;TEXT(C82,"0.00")&amp;"/kg earns a "&amp;TEXT(C81,"0%")&amp;" margin. At ₹"&amp;TEXT(C78,"0")&amp;"/kg we make ₹"&amp;TEXT(C84,"#,##0.0")&amp;" L a year. Every ₹1/kg higher price adds ₹"&amp;TEXT(C10*1000*(1-C34)/100000,"#,##0")&amp;" L a year."</f>
        <v>We put in ₹351 L and sell 10,800 t a year. Break-even is ₹26.86/kg and ₹29.98/kg earns a 10% margin. At ₹28/kg we make ₹118.1 L a year. Every ₹1/kg higher price adds ₹104 L a year.</v>
      </c>
      <c r="C86" s="16"/>
      <c r="D86" s="16"/>
      <c r="E86" s="16"/>
      <c r="F86" s="16"/>
      <c r="G86" s="16"/>
      <c r="H86" s="16"/>
    </row>
  </sheetData>
  <mergeCells count="3">
    <mergeCell ref="A2:H2"/>
    <mergeCell ref="B19:H19"/>
    <mergeCell ref="B86:H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60"/>
    <col collapsed="false" customWidth="true" hidden="false" outlineLevel="0" max="3" min="3" style="0" width="80"/>
  </cols>
  <sheetData>
    <row r="1" customFormat="false" ht="17.35" hidden="false" customHeight="false" outlineLevel="0" collapsed="false">
      <c r="A1" s="31" t="s">
        <v>166</v>
      </c>
    </row>
    <row r="3" customFormat="false" ht="33.75" hidden="false" customHeight="true" outlineLevel="0" collapsed="false">
      <c r="A3" s="32" t="s">
        <v>167</v>
      </c>
      <c r="B3" s="32" t="s">
        <v>168</v>
      </c>
      <c r="C3" s="32" t="s">
        <v>169</v>
      </c>
    </row>
    <row r="4" customFormat="false" ht="33.75" hidden="false" customHeight="true" outlineLevel="0" collapsed="false">
      <c r="A4" s="33" t="n">
        <v>1</v>
      </c>
      <c r="B4" s="33" t="s">
        <v>170</v>
      </c>
      <c r="C4" s="33" t="s">
        <v>171</v>
      </c>
    </row>
    <row r="5" customFormat="false" ht="33.75" hidden="false" customHeight="true" outlineLevel="0" collapsed="false">
      <c r="A5" s="33" t="n">
        <v>2</v>
      </c>
      <c r="B5" s="33" t="s">
        <v>172</v>
      </c>
      <c r="C5" s="33" t="s">
        <v>173</v>
      </c>
    </row>
    <row r="6" customFormat="false" ht="33.75" hidden="false" customHeight="true" outlineLevel="0" collapsed="false">
      <c r="A6" s="33" t="n">
        <v>3</v>
      </c>
      <c r="B6" s="33" t="s">
        <v>174</v>
      </c>
      <c r="C6" s="33" t="s">
        <v>175</v>
      </c>
    </row>
    <row r="7" customFormat="false" ht="33.75" hidden="false" customHeight="true" outlineLevel="0" collapsed="false">
      <c r="A7" s="33" t="n">
        <v>4</v>
      </c>
      <c r="B7" s="33" t="s">
        <v>176</v>
      </c>
      <c r="C7" s="33" t="s">
        <v>177</v>
      </c>
    </row>
    <row r="8" customFormat="false" ht="33.75" hidden="false" customHeight="true" outlineLevel="0" collapsed="false">
      <c r="A8" s="33" t="n">
        <v>5</v>
      </c>
      <c r="B8" s="33" t="s">
        <v>178</v>
      </c>
      <c r="C8" s="33" t="s">
        <v>179</v>
      </c>
    </row>
    <row r="9" customFormat="false" ht="33.75" hidden="false" customHeight="true" outlineLevel="0" collapsed="false">
      <c r="A9" s="33" t="n">
        <v>6</v>
      </c>
      <c r="B9" s="33" t="s">
        <v>180</v>
      </c>
      <c r="C9" s="33" t="s">
        <v>181</v>
      </c>
    </row>
    <row r="10" customFormat="false" ht="33.75" hidden="false" customHeight="true" outlineLevel="0" collapsed="false">
      <c r="A10" s="33" t="n">
        <v>7</v>
      </c>
      <c r="B10" s="33" t="s">
        <v>182</v>
      </c>
      <c r="C10" s="33" t="s">
        <v>183</v>
      </c>
    </row>
    <row r="11" customFormat="false" ht="33.75" hidden="false" customHeight="true" outlineLevel="0" collapsed="false">
      <c r="A11" s="33" t="n">
        <v>8</v>
      </c>
      <c r="B11" s="33" t="s">
        <v>184</v>
      </c>
      <c r="C11" s="33" t="s">
        <v>185</v>
      </c>
    </row>
    <row r="12" customFormat="false" ht="33.75" hidden="false" customHeight="true" outlineLevel="0" collapsed="false">
      <c r="A12" s="33" t="n">
        <v>9</v>
      </c>
      <c r="B12" s="33" t="s">
        <v>186</v>
      </c>
      <c r="C12" s="33" t="s">
        <v>187</v>
      </c>
    </row>
    <row r="13" customFormat="false" ht="33.75" hidden="false" customHeight="true" outlineLevel="0" collapsed="false">
      <c r="A13" s="33" t="n">
        <v>10</v>
      </c>
      <c r="B13" s="33" t="s">
        <v>188</v>
      </c>
      <c r="C13" s="33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2026-09-27T07:52:29Z</dcterms:created>
  <dc:creator>openpyxl</dc:creator>
  <dc:description/>
  <dc:language>en-US</dc:language>
  <cp:lastModifiedBy/>
  <dcterms:modified xsi:type="dcterms:W3CDTF">2026-09-27T07:52:29Z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